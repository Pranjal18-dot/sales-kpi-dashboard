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8e22c774b60dba0c/Desktop/Develearn/"/>
    </mc:Choice>
  </mc:AlternateContent>
  <xr:revisionPtr revIDLastSave="69" documentId="8_{171BCD1A-8A4B-4A55-8A83-89C58D6D3EE9}" xr6:coauthVersionLast="47" xr6:coauthVersionMax="47" xr10:uidLastSave="{1FAFCF06-EA43-4723-B7AE-2A7466AB5898}"/>
  <bookViews>
    <workbookView xWindow="-108" yWindow="-108" windowWidth="23256" windowHeight="12456" activeTab="1" xr2:uid="{00000000-000D-0000-FFFF-FFFF00000000}"/>
  </bookViews>
  <sheets>
    <sheet name="DATA" sheetId="1" r:id="rId1"/>
    <sheet name="DASHBOAR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4+ijccjK6hK/HNRsWTB4dRSvfcQkQss6IjKBN0Cxwrg="/>
    </ext>
  </extLst>
</workbook>
</file>

<file path=xl/calcChain.xml><?xml version="1.0" encoding="utf-8"?>
<calcChain xmlns="http://schemas.openxmlformats.org/spreadsheetml/2006/main">
  <c r="D15" i="1" l="1" a="1"/>
  <c r="D15" i="1"/>
  <c r="C15" i="1" a="1"/>
  <c r="C15" i="1"/>
  <c r="C16" i="1" s="1"/>
  <c r="D18" i="1"/>
  <c r="AL16" i="1"/>
  <c r="AM16" i="1"/>
  <c r="AN16" i="1"/>
  <c r="AO16" i="1"/>
  <c r="AP16" i="1"/>
  <c r="AQ16" i="1"/>
  <c r="AR16" i="1"/>
  <c r="AC16" i="1"/>
  <c r="AD16" i="1"/>
  <c r="AE16" i="1"/>
  <c r="AF16" i="1"/>
  <c r="AG16" i="1"/>
  <c r="AH16" i="1"/>
  <c r="AI16" i="1"/>
  <c r="AJ16" i="1"/>
  <c r="AK16" i="1"/>
  <c r="Q16" i="1"/>
  <c r="R16" i="1"/>
  <c r="S16" i="1"/>
  <c r="T16" i="1"/>
  <c r="U16" i="1"/>
  <c r="V16" i="1"/>
  <c r="W16" i="1"/>
  <c r="X16" i="1"/>
  <c r="Y16" i="1"/>
  <c r="Z16" i="1"/>
  <c r="AA16" i="1"/>
  <c r="AB16" i="1"/>
  <c r="M16" i="1"/>
  <c r="N16" i="1"/>
  <c r="O16" i="1"/>
  <c r="P16" i="1"/>
  <c r="L16" i="1"/>
  <c r="K16" i="1"/>
  <c r="J16" i="1"/>
  <c r="I16" i="1"/>
  <c r="H16" i="1"/>
  <c r="G16" i="1"/>
  <c r="F16" i="1"/>
  <c r="E16" i="1"/>
  <c r="D16" i="1"/>
  <c r="D11" i="1" a="1"/>
  <c r="D11" i="1" s="1"/>
  <c r="D12" i="1" a="1"/>
  <c r="D12" i="1" s="1"/>
  <c r="D13" i="1" a="1"/>
  <c r="D13" i="1"/>
  <c r="D14" i="1" a="1"/>
  <c r="D14" i="1"/>
  <c r="AR12" i="1" a="1"/>
  <c r="AR12" i="1" s="1"/>
  <c r="AR13" i="1" a="1"/>
  <c r="AR13" i="1"/>
  <c r="AR14" i="1" a="1"/>
  <c r="AR14" i="1"/>
  <c r="AR15" i="1" a="1"/>
  <c r="AR15" i="1" s="1"/>
  <c r="AR11" i="1" a="1"/>
  <c r="AR11" i="1" s="1"/>
  <c r="AQ12" i="1" a="1"/>
  <c r="AQ12" i="1" s="1"/>
  <c r="AQ13" i="1" a="1"/>
  <c r="AQ13" i="1" s="1"/>
  <c r="AQ14" i="1" a="1"/>
  <c r="AQ14" i="1"/>
  <c r="AQ15" i="1" a="1"/>
  <c r="AQ15" i="1"/>
  <c r="AQ11" i="1" a="1"/>
  <c r="AQ11" i="1"/>
  <c r="AP12" i="1" a="1"/>
  <c r="AP12" i="1" s="1"/>
  <c r="AP13" i="1" a="1"/>
  <c r="AP13" i="1"/>
  <c r="AP14" i="1" a="1"/>
  <c r="AP14" i="1"/>
  <c r="AP15" i="1" a="1"/>
  <c r="AP15" i="1"/>
  <c r="AP11" i="1" a="1"/>
  <c r="AP11" i="1" s="1"/>
  <c r="AO12" i="1" a="1"/>
  <c r="AO12" i="1" s="1"/>
  <c r="AO13" i="1" a="1"/>
  <c r="AO13" i="1"/>
  <c r="AO14" i="1" a="1"/>
  <c r="AO14" i="1"/>
  <c r="AO15" i="1" a="1"/>
  <c r="AO15" i="1"/>
  <c r="AO11" i="1" a="1"/>
  <c r="AO11" i="1" s="1"/>
  <c r="AN12" i="1" a="1"/>
  <c r="AN12" i="1" s="1"/>
  <c r="AN13" i="1" a="1"/>
  <c r="AN13" i="1"/>
  <c r="AN14" i="1" a="1"/>
  <c r="AN14" i="1"/>
  <c r="AN15" i="1" a="1"/>
  <c r="AN15" i="1"/>
  <c r="AN11" i="1" a="1"/>
  <c r="AN11" i="1" s="1"/>
  <c r="AM12" i="1" a="1"/>
  <c r="AM12" i="1" s="1"/>
  <c r="AM13" i="1" a="1"/>
  <c r="AM13" i="1" s="1"/>
  <c r="AM14" i="1" a="1"/>
  <c r="AM14" i="1" s="1"/>
  <c r="AM15" i="1" a="1"/>
  <c r="AM15" i="1"/>
  <c r="AM11" i="1" a="1"/>
  <c r="AM11" i="1" s="1"/>
  <c r="AL12" i="1" a="1"/>
  <c r="AL12" i="1" s="1"/>
  <c r="AL13" i="1" a="1"/>
  <c r="AL13" i="1"/>
  <c r="AL14" i="1" a="1"/>
  <c r="AL14" i="1" s="1"/>
  <c r="AL15" i="1" a="1"/>
  <c r="AL15" i="1"/>
  <c r="AL11" i="1" a="1"/>
  <c r="AL11" i="1" s="1"/>
  <c r="AK12" i="1" a="1"/>
  <c r="AK12" i="1" s="1"/>
  <c r="AK13" i="1" a="1"/>
  <c r="AK13" i="1"/>
  <c r="AK14" i="1" a="1"/>
  <c r="AK14" i="1"/>
  <c r="AK15" i="1" a="1"/>
  <c r="AK15" i="1"/>
  <c r="AK11" i="1" a="1"/>
  <c r="AK11" i="1" s="1"/>
  <c r="AJ12" i="1" a="1"/>
  <c r="AJ12" i="1" s="1"/>
  <c r="AJ13" i="1" a="1"/>
  <c r="AJ13" i="1"/>
  <c r="AJ14" i="1" a="1"/>
  <c r="AJ14" i="1" s="1"/>
  <c r="AJ15" i="1" a="1"/>
  <c r="AJ15" i="1"/>
  <c r="AJ11" i="1" a="1"/>
  <c r="AJ11" i="1" s="1"/>
  <c r="AI12" i="1" a="1"/>
  <c r="AI12" i="1" s="1"/>
  <c r="AI13" i="1" a="1"/>
  <c r="AI13" i="1" s="1"/>
  <c r="AI14" i="1" a="1"/>
  <c r="AI14" i="1" s="1"/>
  <c r="AI15" i="1" a="1"/>
  <c r="AI15" i="1"/>
  <c r="AI11" i="1" a="1"/>
  <c r="AI11" i="1" s="1"/>
  <c r="AH12" i="1" a="1"/>
  <c r="AH12" i="1"/>
  <c r="AH13" i="1" a="1"/>
  <c r="AH13" i="1"/>
  <c r="AH14" i="1" a="1"/>
  <c r="AH14" i="1"/>
  <c r="AH15" i="1" a="1"/>
  <c r="AH15" i="1"/>
  <c r="AH11" i="1" a="1"/>
  <c r="AH11" i="1" s="1"/>
  <c r="AG12" i="1" a="1"/>
  <c r="AG12" i="1"/>
  <c r="AG13" i="1" a="1"/>
  <c r="AG13" i="1" s="1"/>
  <c r="AG14" i="1" a="1"/>
  <c r="AG14" i="1" s="1"/>
  <c r="AG15" i="1" a="1"/>
  <c r="AG15" i="1"/>
  <c r="AG11" i="1" a="1"/>
  <c r="AG11" i="1" s="1"/>
  <c r="AF12" i="1" a="1"/>
  <c r="AF12" i="1" s="1"/>
  <c r="AF13" i="1" a="1"/>
  <c r="AF13" i="1" s="1"/>
  <c r="AF14" i="1" a="1"/>
  <c r="AF14" i="1" s="1"/>
  <c r="AF15" i="1" a="1"/>
  <c r="AF15" i="1"/>
  <c r="AF11" i="1" a="1"/>
  <c r="AF11" i="1" s="1"/>
  <c r="AE12" i="1" a="1"/>
  <c r="AE12" i="1" s="1"/>
  <c r="AE13" i="1" a="1"/>
  <c r="AE13" i="1"/>
  <c r="AE14" i="1" a="1"/>
  <c r="AE14" i="1"/>
  <c r="AE15" i="1" a="1"/>
  <c r="AE15" i="1"/>
  <c r="AE11" i="1" a="1"/>
  <c r="AE11" i="1" s="1"/>
  <c r="AD12" i="1" a="1"/>
  <c r="AD12" i="1" s="1"/>
  <c r="AD13" i="1" a="1"/>
  <c r="AD13" i="1"/>
  <c r="AD14" i="1" a="1"/>
  <c r="AD14" i="1"/>
  <c r="AD15" i="1" a="1"/>
  <c r="AD15" i="1"/>
  <c r="AD11" i="1" a="1"/>
  <c r="AD11" i="1" s="1"/>
  <c r="AC12" i="1" a="1"/>
  <c r="AC12" i="1" s="1"/>
  <c r="AC13" i="1" a="1"/>
  <c r="AC13" i="1"/>
  <c r="AC14" i="1" a="1"/>
  <c r="AC14" i="1"/>
  <c r="AC15" i="1" a="1"/>
  <c r="AC15" i="1"/>
  <c r="AC11" i="1" a="1"/>
  <c r="AC11" i="1"/>
  <c r="AB12" i="1" a="1"/>
  <c r="AB12" i="1" s="1"/>
  <c r="AB13" i="1" a="1"/>
  <c r="AB13" i="1" s="1"/>
  <c r="AB14" i="1" a="1"/>
  <c r="AB14" i="1"/>
  <c r="AB15" i="1" a="1"/>
  <c r="AB15" i="1"/>
  <c r="AB11" i="1" a="1"/>
  <c r="AB11" i="1" s="1"/>
  <c r="AA12" i="1" a="1"/>
  <c r="AA12" i="1" s="1"/>
  <c r="AA13" i="1" a="1"/>
  <c r="AA13" i="1" s="1"/>
  <c r="AA14" i="1" a="1"/>
  <c r="AA14" i="1"/>
  <c r="AA15" i="1" a="1"/>
  <c r="AA15" i="1" s="1"/>
  <c r="AA11" i="1" a="1"/>
  <c r="AA11" i="1" s="1"/>
  <c r="Z12" i="1" a="1"/>
  <c r="Z12" i="1" s="1"/>
  <c r="Z13" i="1" a="1"/>
  <c r="Z13" i="1" s="1"/>
  <c r="Z14" i="1" a="1"/>
  <c r="Z14" i="1" s="1"/>
  <c r="Z15" i="1" a="1"/>
  <c r="Z15" i="1"/>
  <c r="Z11" i="1" a="1"/>
  <c r="Z11" i="1" s="1"/>
  <c r="Y12" i="1" a="1"/>
  <c r="Y12" i="1" s="1"/>
  <c r="Y13" i="1" a="1"/>
  <c r="Y13" i="1"/>
  <c r="Y14" i="1" a="1"/>
  <c r="Y14" i="1"/>
  <c r="Y15" i="1" a="1"/>
  <c r="Y15" i="1"/>
  <c r="Y11" i="1" a="1"/>
  <c r="Y11" i="1" s="1"/>
  <c r="X12" i="1" a="1"/>
  <c r="X12" i="1" s="1"/>
  <c r="X13" i="1" a="1"/>
  <c r="X13" i="1" s="1"/>
  <c r="X14" i="1" a="1"/>
  <c r="X14" i="1" s="1"/>
  <c r="X15" i="1" a="1"/>
  <c r="X15" i="1"/>
  <c r="X11" i="1" a="1"/>
  <c r="X11" i="1" s="1"/>
  <c r="W12" i="1" a="1"/>
  <c r="W12" i="1"/>
  <c r="W13" i="1" a="1"/>
  <c r="W13" i="1"/>
  <c r="W14" i="1" a="1"/>
  <c r="W14" i="1" s="1"/>
  <c r="W15" i="1" a="1"/>
  <c r="W15" i="1"/>
  <c r="W11" i="1" a="1"/>
  <c r="W11" i="1" s="1"/>
  <c r="V11" i="1" a="1"/>
  <c r="V11" i="1" s="1"/>
  <c r="V13" i="1" a="1"/>
  <c r="V13" i="1"/>
  <c r="V14" i="1" a="1"/>
  <c r="V14" i="1"/>
  <c r="V15" i="1" a="1"/>
  <c r="V15" i="1" s="1"/>
  <c r="V12" i="1" a="1"/>
  <c r="V12" i="1" s="1"/>
  <c r="U12" i="1" a="1"/>
  <c r="U12" i="1" s="1"/>
  <c r="U13" i="1" a="1"/>
  <c r="U13" i="1" s="1"/>
  <c r="U14" i="1" a="1"/>
  <c r="U14" i="1"/>
  <c r="U15" i="1" a="1"/>
  <c r="U15" i="1"/>
  <c r="U11" i="1" a="1"/>
  <c r="U11" i="1" s="1"/>
  <c r="T12" i="1" a="1"/>
  <c r="T12" i="1" s="1"/>
  <c r="T13" i="1" a="1"/>
  <c r="T13" i="1"/>
  <c r="T14" i="1" a="1"/>
  <c r="T14" i="1"/>
  <c r="T15" i="1" a="1"/>
  <c r="T15" i="1"/>
  <c r="T11" i="1" a="1"/>
  <c r="T11" i="1" s="1"/>
  <c r="S12" i="1" a="1"/>
  <c r="S12" i="1" s="1"/>
  <c r="S13" i="1" a="1"/>
  <c r="S13" i="1"/>
  <c r="S14" i="1" a="1"/>
  <c r="S14" i="1"/>
  <c r="S15" i="1" a="1"/>
  <c r="S15" i="1"/>
  <c r="S11" i="1" a="1"/>
  <c r="S11" i="1" s="1"/>
  <c r="R12" i="1" a="1"/>
  <c r="R12" i="1" s="1"/>
  <c r="R13" i="1" a="1"/>
  <c r="R13" i="1" s="1"/>
  <c r="R14" i="1" a="1"/>
  <c r="R14" i="1"/>
  <c r="R15" i="1" a="1"/>
  <c r="R15" i="1"/>
  <c r="R11" i="1" a="1"/>
  <c r="R11" i="1" s="1"/>
  <c r="Q12" i="1" a="1"/>
  <c r="Q12" i="1" s="1"/>
  <c r="Q13" i="1" a="1"/>
  <c r="Q13" i="1"/>
  <c r="Q14" i="1" a="1"/>
  <c r="Q14" i="1"/>
  <c r="Q15" i="1" a="1"/>
  <c r="Q15" i="1"/>
  <c r="Q11" i="1" a="1"/>
  <c r="Q11" i="1" s="1"/>
  <c r="P12" i="1" a="1"/>
  <c r="P12" i="1" s="1"/>
  <c r="P13" i="1" a="1"/>
  <c r="P13" i="1" s="1"/>
  <c r="P14" i="1" a="1"/>
  <c r="P14" i="1"/>
  <c r="P15" i="1" a="1"/>
  <c r="P15" i="1"/>
  <c r="P11" i="1" a="1"/>
  <c r="P11" i="1" s="1"/>
  <c r="O12" i="1" a="1"/>
  <c r="O12" i="1" s="1"/>
  <c r="O13" i="1" a="1"/>
  <c r="O13" i="1" s="1"/>
  <c r="O14" i="1" a="1"/>
  <c r="O14" i="1" s="1"/>
  <c r="O15" i="1" a="1"/>
  <c r="O15" i="1"/>
  <c r="O11" i="1" a="1"/>
  <c r="O11" i="1" s="1"/>
  <c r="N12" i="1" a="1"/>
  <c r="N12" i="1" s="1"/>
  <c r="N13" i="1" a="1"/>
  <c r="N13" i="1"/>
  <c r="N14" i="1" a="1"/>
  <c r="N14" i="1" s="1"/>
  <c r="N15" i="1" a="1"/>
  <c r="N15" i="1"/>
  <c r="N11" i="1" a="1"/>
  <c r="N11" i="1"/>
  <c r="M12" i="1" a="1"/>
  <c r="M12" i="1" s="1"/>
  <c r="M13" i="1" a="1"/>
  <c r="M13" i="1"/>
  <c r="M14" i="1" a="1"/>
  <c r="M14" i="1"/>
  <c r="M15" i="1" a="1"/>
  <c r="M15" i="1"/>
  <c r="M11" i="1" a="1"/>
  <c r="M11" i="1" s="1"/>
  <c r="L12" i="1" a="1"/>
  <c r="L12" i="1" s="1"/>
  <c r="L13" i="1" a="1"/>
  <c r="L13" i="1"/>
  <c r="L14" i="1" a="1"/>
  <c r="L14" i="1"/>
  <c r="L15" i="1" a="1"/>
  <c r="L15" i="1"/>
  <c r="L11" i="1" a="1"/>
  <c r="L11" i="1" s="1"/>
  <c r="K12" i="1" a="1"/>
  <c r="K12" i="1" s="1"/>
  <c r="K13" i="1" a="1"/>
  <c r="K13" i="1"/>
  <c r="K14" i="1" a="1"/>
  <c r="K14" i="1"/>
  <c r="K15" i="1" a="1"/>
  <c r="K15" i="1"/>
  <c r="K11" i="1" a="1"/>
  <c r="K11" i="1" s="1"/>
  <c r="J12" i="1" a="1"/>
  <c r="J12" i="1" s="1"/>
  <c r="J13" i="1" a="1"/>
  <c r="J13" i="1"/>
  <c r="J14" i="1" a="1"/>
  <c r="J14" i="1"/>
  <c r="J15" i="1" a="1"/>
  <c r="J15" i="1"/>
  <c r="J11" i="1" a="1"/>
  <c r="J11" i="1" s="1"/>
  <c r="I12" i="1" a="1"/>
  <c r="I12" i="1" s="1"/>
  <c r="I13" i="1" a="1"/>
  <c r="I13" i="1" s="1"/>
  <c r="I14" i="1" a="1"/>
  <c r="I14" i="1"/>
  <c r="I15" i="1" a="1"/>
  <c r="I15" i="1"/>
  <c r="I11" i="1" a="1"/>
  <c r="I11" i="1" s="1"/>
  <c r="H12" i="1" a="1"/>
  <c r="H12" i="1" s="1"/>
  <c r="H13" i="1" a="1"/>
  <c r="H13" i="1" s="1"/>
  <c r="H14" i="1" a="1"/>
  <c r="H14" i="1" s="1"/>
  <c r="H15" i="1" a="1"/>
  <c r="H15" i="1"/>
  <c r="H11" i="1" a="1"/>
  <c r="H11" i="1" s="1"/>
  <c r="G12" i="1" a="1"/>
  <c r="G12" i="1" s="1"/>
  <c r="G13" i="1" a="1"/>
  <c r="G13" i="1" s="1"/>
  <c r="G14" i="1" a="1"/>
  <c r="G14" i="1" s="1"/>
  <c r="G15" i="1" a="1"/>
  <c r="G15" i="1"/>
  <c r="G11" i="1" a="1"/>
  <c r="G11" i="1" s="1"/>
  <c r="F12" i="1" a="1"/>
  <c r="F12" i="1" s="1"/>
  <c r="F13" i="1" a="1"/>
  <c r="F13" i="1"/>
  <c r="F14" i="1" a="1"/>
  <c r="F14" i="1"/>
  <c r="F15" i="1" a="1"/>
  <c r="F15" i="1"/>
  <c r="F11" i="1" a="1"/>
  <c r="F11" i="1" s="1"/>
  <c r="E12" i="1" a="1"/>
  <c r="E12" i="1" s="1"/>
  <c r="E13" i="1" a="1"/>
  <c r="E13" i="1"/>
  <c r="E14" i="1" a="1"/>
  <c r="E14" i="1"/>
  <c r="E15" i="1" a="1"/>
  <c r="E15" i="1"/>
  <c r="E11" i="1" a="1"/>
  <c r="E11" i="1" s="1"/>
  <c r="C12" i="1" a="1"/>
  <c r="C12" i="1" s="1"/>
  <c r="C13" i="1" a="1"/>
  <c r="C13" i="1" s="1"/>
  <c r="C14" i="1" a="1"/>
  <c r="C14" i="1" s="1"/>
  <c r="C11" i="1" a="1"/>
  <c r="C11" i="1" s="1"/>
  <c r="E5" i="1"/>
  <c r="AR68" i="1"/>
  <c r="AQ68" i="1"/>
  <c r="AP68" i="1"/>
  <c r="AO68" i="1"/>
  <c r="AN68" i="1"/>
  <c r="AM68" i="1"/>
  <c r="AL68" i="1"/>
  <c r="AK68" i="1"/>
  <c r="AJ68" i="1"/>
  <c r="AI68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AR57" i="1"/>
  <c r="AQ57" i="1"/>
  <c r="AP57" i="1"/>
  <c r="AO57" i="1"/>
  <c r="AN57" i="1"/>
  <c r="AM57" i="1"/>
  <c r="AL57" i="1"/>
  <c r="AK57" i="1"/>
  <c r="AJ57" i="1"/>
  <c r="AI57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AR46" i="1"/>
  <c r="AQ46" i="1"/>
  <c r="AP46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D20" i="1" s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AR35" i="1"/>
  <c r="AQ35" i="1"/>
  <c r="AP35" i="1"/>
  <c r="AO35" i="1"/>
  <c r="AN35" i="1"/>
  <c r="AM35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21" i="1" s="1"/>
  <c r="D35" i="1"/>
  <c r="C35" i="1"/>
  <c r="D19" i="1"/>
  <c r="A25" i="2" l="1"/>
  <c r="A23" i="2"/>
  <c r="I25" i="2"/>
  <c r="I23" i="2"/>
  <c r="I7" i="2"/>
  <c r="I9" i="2"/>
  <c r="A9" i="2"/>
  <c r="A7" i="2"/>
  <c r="I27" i="2"/>
  <c r="A11" i="2" l="1"/>
  <c r="A27" i="2"/>
  <c r="I1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<sst xmlns="http://schemas.openxmlformats.org/spreadsheetml/2006/main" count="487" uniqueCount="66">
  <si>
    <t>Options:</t>
  </si>
  <si>
    <t>Q1 2024</t>
  </si>
  <si>
    <t>Q2 2024</t>
  </si>
  <si>
    <t>Q3 2024</t>
  </si>
  <si>
    <t>Q4 2024</t>
  </si>
  <si>
    <t>ACTIVE TABLE FOR SELECTED</t>
  </si>
  <si>
    <t>Q1</t>
  </si>
  <si>
    <t>October</t>
  </si>
  <si>
    <t>November</t>
  </si>
  <si>
    <t>December</t>
  </si>
  <si>
    <r>
      <rPr>
        <b/>
        <sz val="14"/>
        <color theme="1"/>
        <rFont val="Arial Black"/>
      </rPr>
      <t>Oc</t>
    </r>
    <r>
      <rPr>
        <sz val="14"/>
        <color theme="1"/>
        <rFont val="Arial Black"/>
      </rPr>
      <t>tob</t>
    </r>
    <r>
      <rPr>
        <b/>
        <sz val="14"/>
        <color theme="1"/>
        <rFont val="Arial Black"/>
      </rPr>
      <t>er</t>
    </r>
  </si>
  <si>
    <t>Revenue</t>
  </si>
  <si>
    <t>Target Revenue</t>
  </si>
  <si>
    <t>Previous Year
Revenue</t>
  </si>
  <si>
    <t>Number of
Customers</t>
  </si>
  <si>
    <t>Number of
New Customers
Target</t>
  </si>
  <si>
    <t>Number of
New Customers</t>
  </si>
  <si>
    <t>Number of
New Customers
Previous Year</t>
  </si>
  <si>
    <t>Customer Acquisition Costs</t>
  </si>
  <si>
    <t>Customer AC (per customer)</t>
  </si>
  <si>
    <t>Customer AC (per customer) Target</t>
  </si>
  <si>
    <t>Customer Aquis. Costs (per customer) PY</t>
  </si>
  <si>
    <t>Revenue per
Customer</t>
  </si>
  <si>
    <t>Revenue per
Customer PY</t>
  </si>
  <si>
    <t>Target Revenue
per Customer</t>
  </si>
  <si>
    <t>Jacob</t>
  </si>
  <si>
    <t>Arnold</t>
  </si>
  <si>
    <t>Naomi</t>
  </si>
  <si>
    <t>David</t>
  </si>
  <si>
    <t>Ariel</t>
  </si>
  <si>
    <t>TOTAL</t>
  </si>
  <si>
    <t>TOTAL REVENUE PER YEAR</t>
  </si>
  <si>
    <t>TOTAL CUSTOMERS PER YEAR</t>
  </si>
  <si>
    <t>NEW CUSTOMERS PER YEAR</t>
  </si>
  <si>
    <t>REVENUE PER CUSTOMER</t>
  </si>
  <si>
    <t>Q1 2023</t>
  </si>
  <si>
    <t>January</t>
  </si>
  <si>
    <t>February</t>
  </si>
  <si>
    <t>March</t>
  </si>
  <si>
    <t>Q2 2023</t>
  </si>
  <si>
    <t>April</t>
  </si>
  <si>
    <t>May</t>
  </si>
  <si>
    <t>June</t>
  </si>
  <si>
    <t>Q3 2023</t>
  </si>
  <si>
    <t>July</t>
  </si>
  <si>
    <t>August</t>
  </si>
  <si>
    <t>September</t>
  </si>
  <si>
    <t>Q4 2023</t>
  </si>
  <si>
    <t>KPI Overview</t>
  </si>
  <si>
    <t>Revenue Compared per year</t>
  </si>
  <si>
    <t>New Customers per year</t>
  </si>
  <si>
    <t>Revenue Actual VS Target</t>
  </si>
  <si>
    <t>New customers Actual VS Target</t>
  </si>
  <si>
    <t>Actual
Revenue</t>
  </si>
  <si>
    <t>Actual
New Customers</t>
  </si>
  <si>
    <t>Target
Revenue</t>
  </si>
  <si>
    <t>Target New Customers</t>
  </si>
  <si>
    <t>Target
Achievement</t>
  </si>
  <si>
    <t>Average Revenue Per Year</t>
  </si>
  <si>
    <t>Customer Acquisition costs per year</t>
  </si>
  <si>
    <t xml:space="preserve">Avg. Revenue per Customer </t>
  </si>
  <si>
    <t>Customer Acquisition Cost</t>
  </si>
  <si>
    <t>Actual
Revenue Per Customer</t>
  </si>
  <si>
    <t>Actual
CAC</t>
  </si>
  <si>
    <t>Target Revnue Per Customer</t>
  </si>
  <si>
    <t>Target
CAC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</si>
</sst>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_);[Red]\(&quot;$&quot;#,##0.00\)"/>
    <numFmt numFmtId="165" formatCode="&quot;$&quot;#,##0_);[Red]\(&quot;$&quot;#,##0\)"/>
    <numFmt numFmtId="166" formatCode="&quot;$&quot;#,##0;[Red]&quot;$&quot;#,##0"/>
  </numFmts>
  <fonts count="24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Bahnschrift"/>
    </font>
    <font>
      <b/>
      <sz val="14"/>
      <color theme="1"/>
      <name val="Bahnschrift"/>
    </font>
    <font>
      <sz val="18"/>
      <color theme="1"/>
      <name val="Bahnschrift"/>
    </font>
    <font>
      <sz val="18"/>
      <color rgb="FF7ED2DB"/>
      <name val="Bahnschrift"/>
    </font>
    <font>
      <b/>
      <sz val="18"/>
      <color theme="1"/>
      <name val="Bahnschrift"/>
    </font>
    <font>
      <sz val="11"/>
      <name val="Calibri"/>
    </font>
    <font>
      <sz val="14"/>
      <color rgb="FF0070C0"/>
      <name val="Arial Black"/>
    </font>
    <font>
      <b/>
      <sz val="14"/>
      <color theme="1"/>
      <name val="Arial Black"/>
    </font>
    <font>
      <b/>
      <sz val="14"/>
      <color rgb="FF0070C0"/>
      <name val="Arial Black"/>
    </font>
    <font>
      <sz val="14"/>
      <color theme="1"/>
      <name val="Calibri"/>
    </font>
    <font>
      <sz val="14"/>
      <color theme="1"/>
      <name val="Bahnschrift"/>
    </font>
    <font>
      <sz val="16"/>
      <color theme="1"/>
      <name val="Calibri"/>
    </font>
    <font>
      <sz val="16"/>
      <color theme="1"/>
      <name val="Bahnschrift"/>
    </font>
    <font>
      <b/>
      <sz val="11"/>
      <color theme="1"/>
      <name val="Bahnschrift"/>
    </font>
    <font>
      <sz val="22"/>
      <color theme="1"/>
      <name val="Bahnschrift"/>
    </font>
    <font>
      <sz val="22"/>
      <color rgb="FF000000"/>
      <name val="Arial"/>
    </font>
    <font>
      <b/>
      <sz val="14"/>
      <color theme="1"/>
      <name val="Calibri"/>
    </font>
    <font>
      <b/>
      <sz val="11"/>
      <color rgb="FF595959"/>
      <name val="Bahnschrift"/>
    </font>
    <font>
      <sz val="16"/>
      <color rgb="FF595959"/>
      <name val="Bahnschrift"/>
    </font>
    <font>
      <b/>
      <sz val="10"/>
      <color rgb="FF595959"/>
      <name val="Bahnschrift"/>
    </font>
    <font>
      <sz val="10"/>
      <color theme="1"/>
      <name val="Calibri"/>
    </font>
    <font>
      <sz val="14"/>
      <color theme="1"/>
      <name val="Arial Black"/>
    </font>
  </fonts>
  <fills count="12">
    <fill>
      <patternFill patternType="none"/>
    </fill>
    <fill>
      <patternFill patternType="gray125"/>
    </fill>
    <fill>
      <patternFill patternType="solid">
        <fgColor rgb="FF7ED2DB"/>
        <bgColor rgb="FF7ED2DB"/>
      </patternFill>
    </fill>
    <fill>
      <patternFill patternType="solid">
        <fgColor rgb="FFF2F2F2"/>
        <bgColor rgb="FFF2F2F2"/>
      </patternFill>
    </fill>
    <fill>
      <patternFill patternType="solid">
        <fgColor rgb="FFDF726E"/>
        <bgColor rgb="FFDF726E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BE4D5"/>
        <bgColor rgb="FFFBE4D5"/>
      </patternFill>
    </fill>
    <fill>
      <patternFill patternType="solid">
        <fgColor rgb="FFC5E0B3"/>
        <bgColor rgb="FFC5E0B3"/>
      </patternFill>
    </fill>
    <fill>
      <patternFill patternType="solid">
        <fgColor rgb="FFECECEC"/>
        <bgColor rgb="FFECECEC"/>
      </patternFill>
    </fill>
    <fill>
      <patternFill patternType="solid">
        <fgColor rgb="FFBDD6EE"/>
        <bgColor rgb="FFBDD6EE"/>
      </patternFill>
    </fill>
    <fill>
      <patternFill patternType="solid">
        <fgColor rgb="FFFEF2CB"/>
        <bgColor rgb="FFFEF2CB"/>
      </patternFill>
    </fill>
  </fills>
  <borders count="4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CCCCCC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/>
      <right style="medium">
        <color rgb="FFCCCCCC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3" fillId="2" borderId="2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164" fontId="3" fillId="2" borderId="5" xfId="0" applyNumberFormat="1" applyFont="1" applyFill="1" applyBorder="1" applyAlignment="1">
      <alignment horizontal="center" vertical="center" wrapText="1"/>
    </xf>
    <xf numFmtId="164" fontId="3" fillId="2" borderId="6" xfId="0" applyNumberFormat="1" applyFont="1" applyFill="1" applyBorder="1" applyAlignment="1">
      <alignment horizontal="center" vertical="center" wrapText="1"/>
    </xf>
    <xf numFmtId="164" fontId="3" fillId="2" borderId="7" xfId="0" applyNumberFormat="1" applyFont="1" applyFill="1" applyBorder="1" applyAlignment="1">
      <alignment horizontal="center" vertical="center" wrapText="1"/>
    </xf>
    <xf numFmtId="0" fontId="8" fillId="0" borderId="4" xfId="0" applyFont="1" applyBorder="1" applyAlignment="1">
      <alignment vertical="center" wrapText="1"/>
    </xf>
    <xf numFmtId="164" fontId="9" fillId="2" borderId="7" xfId="0" applyNumberFormat="1" applyFont="1" applyFill="1" applyBorder="1" applyAlignment="1">
      <alignment horizontal="center" vertical="center" wrapText="1"/>
    </xf>
    <xf numFmtId="164" fontId="9" fillId="2" borderId="11" xfId="0" applyNumberFormat="1" applyFont="1" applyFill="1" applyBorder="1" applyAlignment="1">
      <alignment horizontal="center" vertical="center" wrapText="1"/>
    </xf>
    <xf numFmtId="164" fontId="9" fillId="2" borderId="12" xfId="0" applyNumberFormat="1" applyFont="1" applyFill="1" applyBorder="1" applyAlignment="1">
      <alignment horizontal="center" vertical="center" wrapText="1"/>
    </xf>
    <xf numFmtId="164" fontId="9" fillId="2" borderId="13" xfId="0" applyNumberFormat="1" applyFont="1" applyFill="1" applyBorder="1" applyAlignment="1">
      <alignment horizontal="center" vertical="center" wrapText="1"/>
    </xf>
    <xf numFmtId="0" fontId="10" fillId="0" borderId="4" xfId="0" applyFont="1" applyBorder="1" applyAlignment="1">
      <alignment vertical="center" wrapText="1"/>
    </xf>
    <xf numFmtId="164" fontId="9" fillId="2" borderId="14" xfId="0" applyNumberFormat="1" applyFont="1" applyFill="1" applyBorder="1" applyAlignment="1">
      <alignment horizontal="center" vertical="center" wrapText="1"/>
    </xf>
    <xf numFmtId="164" fontId="9" fillId="2" borderId="6" xfId="0" applyNumberFormat="1" applyFont="1" applyFill="1" applyBorder="1" applyAlignment="1">
      <alignment horizontal="center" vertical="center" wrapText="1"/>
    </xf>
    <xf numFmtId="164" fontId="9" fillId="2" borderId="15" xfId="0" applyNumberFormat="1" applyFont="1" applyFill="1" applyBorder="1" applyAlignment="1">
      <alignment horizontal="center" vertical="center" wrapText="1"/>
    </xf>
    <xf numFmtId="164" fontId="9" fillId="2" borderId="16" xfId="0" applyNumberFormat="1" applyFont="1" applyFill="1" applyBorder="1" applyAlignment="1">
      <alignment horizontal="center" vertical="center" wrapText="1"/>
    </xf>
    <xf numFmtId="164" fontId="9" fillId="2" borderId="17" xfId="0" applyNumberFormat="1" applyFont="1" applyFill="1" applyBorder="1" applyAlignment="1">
      <alignment horizontal="center" vertical="center" wrapText="1"/>
    </xf>
    <xf numFmtId="164" fontId="9" fillId="2" borderId="18" xfId="0" applyNumberFormat="1" applyFont="1" applyFill="1" applyBorder="1" applyAlignment="1">
      <alignment horizontal="center" vertical="center" wrapText="1"/>
    </xf>
    <xf numFmtId="164" fontId="9" fillId="2" borderId="19" xfId="0" applyNumberFormat="1" applyFont="1" applyFill="1" applyBorder="1" applyAlignment="1">
      <alignment horizontal="center" vertical="center" wrapText="1"/>
    </xf>
    <xf numFmtId="164" fontId="9" fillId="2" borderId="20" xfId="0" applyNumberFormat="1" applyFont="1" applyFill="1" applyBorder="1" applyAlignment="1">
      <alignment horizontal="center" vertical="center" wrapText="1"/>
    </xf>
    <xf numFmtId="0" fontId="11" fillId="0" borderId="4" xfId="0" applyFont="1" applyBorder="1" applyAlignment="1">
      <alignment vertical="center" wrapText="1"/>
    </xf>
    <xf numFmtId="0" fontId="12" fillId="3" borderId="7" xfId="0" applyFont="1" applyFill="1" applyBorder="1" applyAlignment="1">
      <alignment vertical="center" wrapText="1"/>
    </xf>
    <xf numFmtId="165" fontId="12" fillId="3" borderId="14" xfId="0" applyNumberFormat="1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1" fillId="0" borderId="23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/>
    </xf>
    <xf numFmtId="164" fontId="14" fillId="0" borderId="1" xfId="0" applyNumberFormat="1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center" wrapText="1"/>
    </xf>
    <xf numFmtId="0" fontId="1" fillId="0" borderId="22" xfId="0" applyFont="1" applyBorder="1" applyAlignment="1">
      <alignment vertical="center" wrapText="1"/>
    </xf>
    <xf numFmtId="0" fontId="1" fillId="0" borderId="24" xfId="0" applyFont="1" applyBorder="1" applyAlignment="1">
      <alignment vertical="center" wrapText="1"/>
    </xf>
    <xf numFmtId="0" fontId="1" fillId="4" borderId="24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5" fillId="4" borderId="24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4" xfId="0" applyFont="1" applyFill="1" applyBorder="1" applyAlignment="1">
      <alignment horizontal="center" vertical="center" wrapText="1"/>
    </xf>
    <xf numFmtId="164" fontId="12" fillId="3" borderId="1" xfId="0" applyNumberFormat="1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0" fontId="1" fillId="5" borderId="6" xfId="0" applyFont="1" applyFill="1" applyBorder="1"/>
    <xf numFmtId="0" fontId="17" fillId="0" borderId="0" xfId="0" applyFont="1"/>
    <xf numFmtId="0" fontId="1" fillId="9" borderId="6" xfId="0" applyFont="1" applyFill="1" applyBorder="1" applyAlignment="1">
      <alignment vertical="center" wrapText="1"/>
    </xf>
    <xf numFmtId="0" fontId="1" fillId="9" borderId="6" xfId="0" applyFont="1" applyFill="1" applyBorder="1"/>
    <xf numFmtId="0" fontId="19" fillId="9" borderId="6" xfId="0" applyFont="1" applyFill="1" applyBorder="1" applyAlignment="1">
      <alignment vertical="center"/>
    </xf>
    <xf numFmtId="165" fontId="20" fillId="9" borderId="6" xfId="0" applyNumberFormat="1" applyFont="1" applyFill="1" applyBorder="1" applyAlignment="1">
      <alignment horizontal="right" vertical="center" wrapText="1"/>
    </xf>
    <xf numFmtId="0" fontId="21" fillId="9" borderId="6" xfId="0" applyFont="1" applyFill="1" applyBorder="1" applyAlignment="1">
      <alignment vertical="center" wrapText="1"/>
    </xf>
    <xf numFmtId="166" fontId="20" fillId="9" borderId="6" xfId="0" applyNumberFormat="1" applyFont="1" applyFill="1" applyBorder="1" applyAlignment="1">
      <alignment horizontal="right" vertical="center" wrapText="1"/>
    </xf>
    <xf numFmtId="9" fontId="20" fillId="9" borderId="6" xfId="0" applyNumberFormat="1" applyFont="1" applyFill="1" applyBorder="1" applyAlignment="1">
      <alignment horizontal="right" vertical="center" wrapText="1"/>
    </xf>
    <xf numFmtId="0" fontId="22" fillId="9" borderId="6" xfId="0" applyFont="1" applyFill="1" applyBorder="1"/>
    <xf numFmtId="164" fontId="6" fillId="2" borderId="8" xfId="0" applyNumberFormat="1" applyFont="1" applyFill="1" applyBorder="1" applyAlignment="1">
      <alignment horizontal="center" vertical="center" wrapText="1"/>
    </xf>
    <xf numFmtId="0" fontId="7" fillId="0" borderId="9" xfId="0" applyFont="1" applyBorder="1"/>
    <xf numFmtId="0" fontId="7" fillId="0" borderId="10" xfId="0" applyFont="1" applyBorder="1"/>
    <xf numFmtId="0" fontId="6" fillId="4" borderId="25" xfId="0" applyFont="1" applyFill="1" applyBorder="1" applyAlignment="1">
      <alignment horizontal="center" vertical="center" wrapText="1"/>
    </xf>
    <xf numFmtId="0" fontId="7" fillId="0" borderId="26" xfId="0" applyFont="1" applyBorder="1"/>
    <xf numFmtId="0" fontId="7" fillId="0" borderId="27" xfId="0" applyFont="1" applyBorder="1"/>
    <xf numFmtId="0" fontId="16" fillId="6" borderId="28" xfId="0" applyFont="1" applyFill="1" applyBorder="1" applyAlignment="1">
      <alignment horizontal="center" vertical="center" wrapText="1"/>
    </xf>
    <xf numFmtId="0" fontId="7" fillId="0" borderId="29" xfId="0" applyFont="1" applyBorder="1"/>
    <xf numFmtId="0" fontId="7" fillId="0" borderId="30" xfId="0" applyFont="1" applyBorder="1"/>
    <xf numFmtId="0" fontId="18" fillId="7" borderId="31" xfId="0" applyFont="1" applyFill="1" applyBorder="1" applyAlignment="1">
      <alignment horizontal="center" vertical="center"/>
    </xf>
    <xf numFmtId="0" fontId="7" fillId="0" borderId="32" xfId="0" applyFont="1" applyBorder="1"/>
    <xf numFmtId="0" fontId="7" fillId="0" borderId="33" xfId="0" applyFont="1" applyBorder="1"/>
    <xf numFmtId="0" fontId="18" fillId="8" borderId="31" xfId="0" applyFont="1" applyFill="1" applyBorder="1" applyAlignment="1">
      <alignment horizontal="center" vertical="center"/>
    </xf>
    <xf numFmtId="0" fontId="18" fillId="10" borderId="34" xfId="0" applyFont="1" applyFill="1" applyBorder="1" applyAlignment="1">
      <alignment horizontal="center" vertic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7" fillId="0" borderId="38" xfId="0" applyFont="1" applyBorder="1"/>
    <xf numFmtId="0" fontId="7" fillId="0" borderId="39" xfId="0" applyFont="1" applyBorder="1"/>
    <xf numFmtId="0" fontId="18" fillId="11" borderId="34" xfId="0" applyFont="1" applyFill="1" applyBorder="1" applyAlignment="1">
      <alignment horizontal="center" vertical="center"/>
    </xf>
    <xf numFmtId="165" fontId="11" fillId="0" borderId="23" xfId="0" applyNumberFormat="1" applyFont="1" applyBorder="1" applyAlignment="1">
      <alignment vertical="center" wrapText="1"/>
    </xf>
    <xf numFmtId="0" fontId="19" fillId="9" borderId="6" xfId="0" applyFont="1" applyFill="1" applyBorder="1" applyAlignment="1">
      <alignment horizontal="center" vertical="center" wrapText="1"/>
    </xf>
    <xf numFmtId="165" fontId="19" fillId="9" borderId="6" xfId="0" applyNumberFormat="1" applyFont="1" applyFill="1" applyBorder="1" applyAlignment="1">
      <alignment horizontal="center" vertical="center" wrapText="1"/>
    </xf>
    <xf numFmtId="0" fontId="19" fillId="9" borderId="6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eetMetadata" Target="metadata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 algn="ctr" rtl="0">
              <a:defRPr lang="en-IN" sz="1400" b="1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rPr>
              <a:t>Revenue compared  to previous year</a:t>
            </a:r>
          </a:p>
        </c:rich>
      </c:tx>
      <c:layout>
        <c:manualLayout>
          <c:xMode val="edge"/>
          <c:yMode val="edge"/>
          <c:x val="0.24299821781536568"/>
          <c:y val="3.177115055739984E-2"/>
        </c:manualLayout>
      </c:layout>
      <c:overlay val="0"/>
    </c:title>
    <c:autoTitleDeleted val="0"/>
    <c:plotArea>
      <c:layout>
        <c:manualLayout>
          <c:xMode val="edge"/>
          <c:yMode val="edge"/>
          <c:x val="0.18605280683198183"/>
          <c:y val="0.12076965731396251"/>
          <c:w val="0.77208552055992996"/>
          <c:h val="0.69766073044049104"/>
        </c:manualLayout>
      </c:layout>
      <c:barChart>
        <c:barDir val="col"/>
        <c:grouping val="clustered"/>
        <c:varyColors val="1"/>
        <c:ser>
          <c:idx val="0"/>
          <c:order val="0"/>
          <c:tx>
            <c:v>Current Year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DATA!$F$9:$H$9</c:f>
              <c:strCache>
                <c:ptCount val="3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</c:strCache>
            </c:strRef>
          </c:cat>
          <c:val>
            <c:numRef>
              <c:f>DATA!$C$16:$E$16</c:f>
              <c:numCache>
                <c:formatCode>"$"#,##0_);[Red]\("$"#,##0\)</c:formatCode>
                <c:ptCount val="3"/>
                <c:pt idx="0">
                  <c:v>771500</c:v>
                </c:pt>
                <c:pt idx="1">
                  <c:v>790000</c:v>
                </c:pt>
                <c:pt idx="2">
                  <c:v>785000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02E-433A-A380-BC6E75F27AD0}"/>
            </c:ext>
          </c:extLst>
        </c:ser>
        <c:ser>
          <c:idx val="1"/>
          <c:order val="1"/>
          <c:tx>
            <c:v>Previous Year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DATA!$F$9:$H$9</c:f>
              <c:strCache>
                <c:ptCount val="3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</c:strCache>
            </c:strRef>
          </c:cat>
          <c:val>
            <c:numRef>
              <c:f>DATA!$F$16:$H$16</c:f>
              <c:numCache>
                <c:formatCode>"$"#,##0_);[Red]\("$"#,##0\)</c:formatCode>
                <c:ptCount val="3"/>
                <c:pt idx="0">
                  <c:v>750000</c:v>
                </c:pt>
                <c:pt idx="1">
                  <c:v>700000</c:v>
                </c:pt>
                <c:pt idx="2">
                  <c:v>750000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302E-433A-A380-BC6E75F27A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955855"/>
        <c:axId val="1726434787"/>
      </c:barChart>
      <c:catAx>
        <c:axId val="429558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26434787"/>
        <c:crosses val="autoZero"/>
        <c:auto val="1"/>
        <c:lblAlgn val="ctr"/>
        <c:lblOffset val="100"/>
        <c:noMultiLvlLbl val="1"/>
      </c:catAx>
      <c:valAx>
        <c:axId val="1726434787"/>
        <c:scaling>
          <c:orientation val="minMax"/>
          <c:max val="100000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@" sourceLinked="0"/>
        <c:majorTickMark val="none"/>
        <c:minorTickMark val="none"/>
        <c:tickLblPos val="nextTo"/>
        <c:spPr>
          <a:ln/>
        </c:spPr>
        <c:txPr>
          <a:bodyPr rot="-60000"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2955855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 algn="ctr" rtl="0">
              <a:defRPr lang="en-IN" sz="1400" b="1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rPr>
              <a:t>New Cumstomers compared to previous
</a:t>
            </a:r>
          </a:p>
        </c:rich>
      </c:tx>
      <c:layout>
        <c:manualLayout>
          <c:xMode val="edge"/>
          <c:yMode val="edge"/>
          <c:x val="0.25436557071587423"/>
          <c:y val="9.080827353918644E-3"/>
        </c:manualLayout>
      </c:layout>
      <c:overlay val="0"/>
    </c:title>
    <c:autoTitleDeleted val="0"/>
    <c:plotArea>
      <c:layout>
        <c:manualLayout>
          <c:xMode val="edge"/>
          <c:yMode val="edge"/>
          <c:x val="0.11531714785651793"/>
          <c:y val="7.407407407407407E-2"/>
          <c:w val="0.84023840769903757"/>
          <c:h val="0.74742917065273384"/>
        </c:manualLayout>
      </c:layout>
      <c:barChart>
        <c:barDir val="col"/>
        <c:grouping val="clustered"/>
        <c:varyColors val="1"/>
        <c:ser>
          <c:idx val="0"/>
          <c:order val="0"/>
          <c:tx>
            <c:v>Current Year</c:v>
          </c:tx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DATA!$U$9:$W$9</c:f>
              <c:strCache>
                <c:ptCount val="3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</c:strCache>
            </c:strRef>
          </c:cat>
          <c:val>
            <c:numRef>
              <c:f>DATA!$R$16:$T$16</c:f>
              <c:numCache>
                <c:formatCode>"$"#,##0_);[Red]\("$"#,##0\)</c:formatCode>
                <c:ptCount val="3"/>
                <c:pt idx="0">
                  <c:v>118</c:v>
                </c:pt>
                <c:pt idx="1">
                  <c:v>88</c:v>
                </c:pt>
                <c:pt idx="2">
                  <c:v>101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FF6-4CE0-9919-58C7880A56D9}"/>
            </c:ext>
          </c:extLst>
        </c:ser>
        <c:ser>
          <c:idx val="1"/>
          <c:order val="1"/>
          <c:tx>
            <c:v>Previous Year</c:v>
          </c:tx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DATA!$U$9:$W$9</c:f>
              <c:strCache>
                <c:ptCount val="3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</c:strCache>
            </c:strRef>
          </c:cat>
          <c:val>
            <c:numRef>
              <c:f>DATA!$U$16:$W$16</c:f>
              <c:numCache>
                <c:formatCode>"$"#,##0_);[Red]\("$"#,##0\)</c:formatCode>
                <c:ptCount val="3"/>
                <c:pt idx="0">
                  <c:v>96</c:v>
                </c:pt>
                <c:pt idx="1">
                  <c:v>111</c:v>
                </c:pt>
                <c:pt idx="2">
                  <c:v>103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FF6-4CE0-9919-58C7880A56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47569887"/>
        <c:axId val="1153895674"/>
      </c:barChart>
      <c:catAx>
        <c:axId val="18475698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53895674"/>
        <c:crosses val="autoZero"/>
        <c:auto val="1"/>
        <c:lblAlgn val="ctr"/>
        <c:lblOffset val="100"/>
        <c:noMultiLvlLbl val="1"/>
      </c:catAx>
      <c:valAx>
        <c:axId val="1153895674"/>
        <c:scaling>
          <c:orientation val="minMax"/>
          <c:max val="12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#,##0_);[Red]\(#,##0\)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47569887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 algn="ctr" rtl="0">
              <a:defRPr lang="en-IN" sz="1400" b="1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rPr>
              <a:t>Average Revenue Per Cust. compared to
 previous  year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.15699177024158537"/>
          <c:y val="0.18191634136153334"/>
          <c:w val="0.79538561073604341"/>
          <c:h val="0.59937988971495193"/>
        </c:manualLayout>
      </c:layout>
      <c:barChart>
        <c:barDir val="col"/>
        <c:grouping val="clustered"/>
        <c:varyColors val="1"/>
        <c:ser>
          <c:idx val="0"/>
          <c:order val="0"/>
          <c:tx>
            <c:v>Current Year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DATA!$AJ$16:$AL$16</c:f>
              <c:numCache>
                <c:formatCode>"$"#,##0_);[Red]\("$"#,##0\)</c:formatCode>
                <c:ptCount val="3"/>
                <c:pt idx="0">
                  <c:v>11228.119999999999</c:v>
                </c:pt>
                <c:pt idx="1">
                  <c:v>12619.69</c:v>
                </c:pt>
                <c:pt idx="2">
                  <c:v>12622.150000000001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1A9-4B19-8057-637AE2FB9D2E}"/>
            </c:ext>
          </c:extLst>
        </c:ser>
        <c:ser>
          <c:idx val="1"/>
          <c:order val="1"/>
          <c:tx>
            <c:v>Previous Year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DATA!$AM$16:$AO$16</c:f>
              <c:numCache>
                <c:formatCode>"$"#,##0_);[Red]\("$"#,##0\)</c:formatCode>
                <c:ptCount val="3"/>
                <c:pt idx="0">
                  <c:v>11100</c:v>
                </c:pt>
                <c:pt idx="1">
                  <c:v>12200</c:v>
                </c:pt>
                <c:pt idx="2">
                  <c:v>12100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1A9-4B19-8057-637AE2FB9D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71950897"/>
        <c:axId val="1458556481"/>
      </c:barChart>
      <c:catAx>
        <c:axId val="14719508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58556481"/>
        <c:crosses val="autoZero"/>
        <c:auto val="1"/>
        <c:lblAlgn val="ctr"/>
        <c:lblOffset val="100"/>
        <c:noMultiLvlLbl val="1"/>
      </c:catAx>
      <c:valAx>
        <c:axId val="1458556481"/>
        <c:scaling>
          <c:orientation val="minMax"/>
          <c:max val="400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71950897"/>
        <c:crosses val="autoZero"/>
        <c:crossBetween val="between"/>
        <c:majorUnit val="1000"/>
      </c:valAx>
    </c:plotArea>
    <c:legend>
      <c:legendPos val="r"/>
      <c:layout>
        <c:manualLayout>
          <c:xMode val="edge"/>
          <c:yMode val="edge"/>
          <c:x val="0.18356329474072891"/>
          <c:y val="0.84815486993345435"/>
        </c:manualLayout>
      </c:layout>
      <c:overlay val="0"/>
      <c:txPr>
        <a:bodyPr/>
        <a:lstStyle/>
        <a:p>
          <a:pPr lvl="0">
            <a:defRPr sz="10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ln>
      <a:gradFill>
        <a:gsLst>
          <a:gs pos="0">
            <a:schemeClr val="accent1">
              <a:lumMod val="5000"/>
              <a:lumOff val="95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 algn="ctr" rtl="0">
              <a:defRPr lang="en-IN" sz="1400" b="1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rPr>
              <a:t>Customer Acquisition costs comp. to prev.year</a:t>
            </a:r>
          </a:p>
        </c:rich>
      </c:tx>
      <c:layout>
        <c:manualLayout>
          <c:xMode val="edge"/>
          <c:yMode val="edge"/>
          <c:x val="0.17013387145702263"/>
          <c:y val="1.748633879781420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0955591606325591"/>
          <c:y val="0.15477784949012519"/>
          <c:w val="0.76143183107136736"/>
          <c:h val="0.57642166860290001"/>
        </c:manualLayout>
      </c:layout>
      <c:barChart>
        <c:barDir val="col"/>
        <c:grouping val="clustered"/>
        <c:varyColors val="1"/>
        <c:ser>
          <c:idx val="0"/>
          <c:order val="0"/>
          <c:tx>
            <c:v>Current Year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DATA!$AA$9:$AC$9</c:f>
              <c:strCache>
                <c:ptCount val="3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</c:strCache>
            </c:strRef>
          </c:cat>
          <c:val>
            <c:numRef>
              <c:f>DATA!$AA$16:$AC$16</c:f>
              <c:numCache>
                <c:formatCode>"$"#,##0_);[Red]\("$"#,##0\)</c:formatCode>
                <c:ptCount val="3"/>
                <c:pt idx="0">
                  <c:v>1879.4700000000003</c:v>
                </c:pt>
                <c:pt idx="1">
                  <c:v>2547.19</c:v>
                </c:pt>
                <c:pt idx="2">
                  <c:v>2150.37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D84-458D-B181-F2353AE7057A}"/>
            </c:ext>
          </c:extLst>
        </c:ser>
        <c:ser>
          <c:idx val="1"/>
          <c:order val="1"/>
          <c:tx>
            <c:v>Previous Year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DATA!$AA$9:$AC$9</c:f>
              <c:strCache>
                <c:ptCount val="3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</c:strCache>
            </c:strRef>
          </c:cat>
          <c:val>
            <c:numRef>
              <c:f>DATA!$AG$16:$AI$16</c:f>
              <c:numCache>
                <c:formatCode>"$"#,##0_);[Red]\("$"#,##0\)</c:formatCode>
                <c:ptCount val="3"/>
                <c:pt idx="0">
                  <c:v>1887</c:v>
                </c:pt>
                <c:pt idx="1">
                  <c:v>1770</c:v>
                </c:pt>
                <c:pt idx="2">
                  <c:v>1916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D84-458D-B181-F2353AE705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9299445"/>
        <c:axId val="1987295265"/>
      </c:barChart>
      <c:catAx>
        <c:axId val="4392994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0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87295265"/>
        <c:crosses val="autoZero"/>
        <c:auto val="1"/>
        <c:lblAlgn val="ctr"/>
        <c:lblOffset val="100"/>
        <c:noMultiLvlLbl val="1"/>
      </c:catAx>
      <c:valAx>
        <c:axId val="1987295265"/>
        <c:scaling>
          <c:orientation val="minMax"/>
          <c:max val="60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39299445"/>
        <c:crosses val="autoZero"/>
        <c:crossBetween val="between"/>
        <c:majorUnit val="100"/>
        <c:minorUnit val="2"/>
      </c:valAx>
    </c:plotArea>
    <c:legend>
      <c:legendPos val="r"/>
      <c:layout>
        <c:manualLayout>
          <c:xMode val="edge"/>
          <c:yMode val="edge"/>
          <c:x val="0.26578902269569249"/>
          <c:y val="0.91467542590873918"/>
        </c:manualLayout>
      </c:layout>
      <c:overlay val="0"/>
      <c:txPr>
        <a:bodyPr/>
        <a:lstStyle/>
        <a:p>
          <a:pPr lvl="0">
            <a:defRPr sz="900" b="1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1333500</xdr:colOff>
      <xdr:row>3</xdr:row>
      <xdr:rowOff>123825</xdr:rowOff>
    </xdr:from>
    <xdr:ext cx="3857625" cy="2733675"/>
    <xdr:graphicFrame macro="">
      <xdr:nvGraphicFramePr>
        <xdr:cNvPr id="440490215" name="Chart 1" descr="vdfv&#10;">
          <a:extLst>
            <a:ext uri="{FF2B5EF4-FFF2-40B4-BE49-F238E27FC236}">
              <a16:creationId xmlns:a16="http://schemas.microsoft.com/office/drawing/2014/main" id="{00000000-0008-0000-0100-0000E75841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10</xdr:col>
      <xdr:colOff>1181100</xdr:colOff>
      <xdr:row>3</xdr:row>
      <xdr:rowOff>76200</xdr:rowOff>
    </xdr:from>
    <xdr:ext cx="3743325" cy="2790825"/>
    <xdr:graphicFrame macro="">
      <xdr:nvGraphicFramePr>
        <xdr:cNvPr id="1944029326" name="Chart 2">
          <a:extLst>
            <a:ext uri="{FF2B5EF4-FFF2-40B4-BE49-F238E27FC236}">
              <a16:creationId xmlns:a16="http://schemas.microsoft.com/office/drawing/2014/main" id="{00000000-0008-0000-0100-00008E88DF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2</xdr:col>
      <xdr:colOff>1333500</xdr:colOff>
      <xdr:row>19</xdr:row>
      <xdr:rowOff>76200</xdr:rowOff>
    </xdr:from>
    <xdr:ext cx="3848100" cy="2952750"/>
    <xdr:graphicFrame macro="">
      <xdr:nvGraphicFramePr>
        <xdr:cNvPr id="653455794" name="Chart 3">
          <a:extLst>
            <a:ext uri="{FF2B5EF4-FFF2-40B4-BE49-F238E27FC236}">
              <a16:creationId xmlns:a16="http://schemas.microsoft.com/office/drawing/2014/main" id="{00000000-0008-0000-0100-0000B2F1F2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11</xdr:col>
      <xdr:colOff>0</xdr:colOff>
      <xdr:row>19</xdr:row>
      <xdr:rowOff>95250</xdr:rowOff>
    </xdr:from>
    <xdr:ext cx="3790950" cy="2905125"/>
    <xdr:graphicFrame macro="">
      <xdr:nvGraphicFramePr>
        <xdr:cNvPr id="135739941" name="Chart 4">
          <a:extLst>
            <a:ext uri="{FF2B5EF4-FFF2-40B4-BE49-F238E27FC236}">
              <a16:creationId xmlns:a16="http://schemas.microsoft.com/office/drawing/2014/main" id="{00000000-0008-0000-0100-0000253A17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000"/>
  <sheetViews>
    <sheetView zoomScale="70" zoomScaleNormal="70" workbookViewId="0">
      <selection activeCell="H20" sqref="H20"/>
    </sheetView>
  </sheetViews>
  <sheetFormatPr defaultColWidth="14.44140625" defaultRowHeight="15" customHeight="1"/>
  <cols>
    <col min="1" max="1" width="8.6640625" customWidth="1"/>
    <col min="2" max="2" width="24.88671875" customWidth="1"/>
    <col min="3" max="3" width="18.77734375" customWidth="1"/>
    <col min="4" max="4" width="22.21875" customWidth="1"/>
    <col min="5" max="5" width="19.109375" customWidth="1"/>
    <col min="6" max="8" width="16.44140625" customWidth="1"/>
    <col min="9" max="9" width="17.33203125" customWidth="1"/>
    <col min="10" max="10" width="17.44140625" customWidth="1"/>
    <col min="11" max="11" width="16.88671875" customWidth="1"/>
    <col min="12" max="14" width="16.44140625" customWidth="1"/>
    <col min="15" max="17" width="24.44140625" customWidth="1"/>
    <col min="18" max="20" width="16.88671875" customWidth="1"/>
    <col min="21" max="23" width="24.44140625" customWidth="1"/>
    <col min="24" max="24" width="18.6640625" customWidth="1"/>
    <col min="25" max="26" width="15.109375" customWidth="1"/>
    <col min="27" max="29" width="15.88671875" customWidth="1"/>
    <col min="30" max="32" width="22.5546875" customWidth="1"/>
    <col min="33" max="35" width="25.33203125" customWidth="1"/>
    <col min="36" max="36" width="15.109375" customWidth="1"/>
    <col min="37" max="37" width="17" customWidth="1"/>
    <col min="38" max="38" width="17.44140625" customWidth="1"/>
    <col min="39" max="41" width="19.109375" customWidth="1"/>
    <col min="42" max="44" width="20.88671875" customWidth="1"/>
  </cols>
  <sheetData>
    <row r="1" spans="1:44" ht="14.25" customHeight="1">
      <c r="A1" s="1"/>
      <c r="B1" s="1"/>
      <c r="C1" s="1"/>
      <c r="D1" s="1"/>
      <c r="E1" s="1"/>
      <c r="F1" s="1"/>
      <c r="G1" s="2" t="s">
        <v>0</v>
      </c>
      <c r="H1" s="3" t="s">
        <v>1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ht="14.25" customHeight="1">
      <c r="A2" s="1"/>
      <c r="B2" s="1"/>
      <c r="C2" s="1"/>
      <c r="D2" s="1"/>
      <c r="E2" s="1"/>
      <c r="F2" s="1"/>
      <c r="G2" s="1"/>
      <c r="H2" s="3" t="s">
        <v>2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ht="14.25" customHeight="1">
      <c r="A3" s="1"/>
      <c r="B3" s="1"/>
      <c r="C3" s="1"/>
      <c r="D3" s="1"/>
      <c r="E3" s="1"/>
      <c r="F3" s="1"/>
      <c r="G3" s="1"/>
      <c r="H3" s="3" t="s">
        <v>3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ht="14.25" customHeight="1">
      <c r="A4" s="1"/>
      <c r="B4" s="1"/>
      <c r="C4" s="1"/>
      <c r="D4" s="1"/>
      <c r="E4" s="1"/>
      <c r="F4" s="1"/>
      <c r="G4" s="1"/>
      <c r="H4" s="3" t="s">
        <v>4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ht="25.2" customHeight="1">
      <c r="A5" s="1"/>
      <c r="B5" s="4" t="s">
        <v>5</v>
      </c>
      <c r="C5" s="1"/>
      <c r="D5" s="1"/>
      <c r="E5" s="5" t="str">
        <f>DASHBOARD!D2</f>
        <v>Q1 2024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:44" ht="21" customHeight="1">
      <c r="A6" s="1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</row>
    <row r="7" spans="1:44" ht="14.25" customHeight="1">
      <c r="A7" s="7"/>
      <c r="B7" s="8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</row>
    <row r="8" spans="1:44" ht="31.5" customHeight="1">
      <c r="A8" s="7"/>
      <c r="B8" s="10"/>
      <c r="C8" s="55" t="s">
        <v>6</v>
      </c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7"/>
    </row>
    <row r="9" spans="1:44" ht="14.25" customHeight="1">
      <c r="A9" s="11"/>
      <c r="B9" s="12"/>
      <c r="C9" s="13" t="s">
        <v>7</v>
      </c>
      <c r="D9" s="14" t="s">
        <v>8</v>
      </c>
      <c r="E9" s="15" t="s">
        <v>9</v>
      </c>
      <c r="F9" s="13" t="s">
        <v>7</v>
      </c>
      <c r="G9" s="14" t="s">
        <v>8</v>
      </c>
      <c r="H9" s="14" t="s">
        <v>9</v>
      </c>
      <c r="I9" s="13" t="s">
        <v>7</v>
      </c>
      <c r="J9" s="14" t="s">
        <v>8</v>
      </c>
      <c r="K9" s="15" t="s">
        <v>9</v>
      </c>
      <c r="L9" s="14" t="s">
        <v>7</v>
      </c>
      <c r="M9" s="14" t="s">
        <v>8</v>
      </c>
      <c r="N9" s="15" t="s">
        <v>9</v>
      </c>
      <c r="O9" s="13" t="s">
        <v>7</v>
      </c>
      <c r="P9" s="14" t="s">
        <v>8</v>
      </c>
      <c r="Q9" s="15" t="s">
        <v>9</v>
      </c>
      <c r="R9" s="13" t="s">
        <v>10</v>
      </c>
      <c r="S9" s="14" t="s">
        <v>8</v>
      </c>
      <c r="T9" s="15" t="s">
        <v>9</v>
      </c>
      <c r="U9" s="13" t="s">
        <v>7</v>
      </c>
      <c r="V9" s="14" t="s">
        <v>8</v>
      </c>
      <c r="W9" s="15" t="s">
        <v>9</v>
      </c>
      <c r="X9" s="13" t="s">
        <v>7</v>
      </c>
      <c r="Y9" s="14" t="s">
        <v>8</v>
      </c>
      <c r="Z9" s="15" t="s">
        <v>9</v>
      </c>
      <c r="AA9" s="13" t="s">
        <v>7</v>
      </c>
      <c r="AB9" s="14" t="s">
        <v>8</v>
      </c>
      <c r="AC9" s="15" t="s">
        <v>9</v>
      </c>
      <c r="AD9" s="13" t="s">
        <v>7</v>
      </c>
      <c r="AE9" s="14" t="s">
        <v>8</v>
      </c>
      <c r="AF9" s="15" t="s">
        <v>9</v>
      </c>
      <c r="AG9" s="13" t="s">
        <v>7</v>
      </c>
      <c r="AH9" s="14" t="s">
        <v>8</v>
      </c>
      <c r="AI9" s="15" t="s">
        <v>9</v>
      </c>
      <c r="AJ9" s="13" t="s">
        <v>7</v>
      </c>
      <c r="AK9" s="14" t="s">
        <v>8</v>
      </c>
      <c r="AL9" s="15" t="s">
        <v>9</v>
      </c>
      <c r="AM9" s="13" t="s">
        <v>7</v>
      </c>
      <c r="AN9" s="14" t="s">
        <v>8</v>
      </c>
      <c r="AO9" s="15" t="s">
        <v>9</v>
      </c>
      <c r="AP9" s="13" t="s">
        <v>7</v>
      </c>
      <c r="AQ9" s="14" t="s">
        <v>8</v>
      </c>
      <c r="AR9" s="15" t="s">
        <v>9</v>
      </c>
    </row>
    <row r="10" spans="1:44" ht="80.25" customHeight="1">
      <c r="A10" s="16"/>
      <c r="B10" s="12"/>
      <c r="C10" s="17" t="s">
        <v>11</v>
      </c>
      <c r="D10" s="18" t="s">
        <v>11</v>
      </c>
      <c r="E10" s="19" t="s">
        <v>11</v>
      </c>
      <c r="F10" s="20" t="s">
        <v>12</v>
      </c>
      <c r="G10" s="21" t="s">
        <v>12</v>
      </c>
      <c r="H10" s="22" t="s">
        <v>12</v>
      </c>
      <c r="I10" s="17" t="s">
        <v>13</v>
      </c>
      <c r="J10" s="18" t="s">
        <v>13</v>
      </c>
      <c r="K10" s="19" t="s">
        <v>13</v>
      </c>
      <c r="L10" s="23" t="s">
        <v>14</v>
      </c>
      <c r="M10" s="21" t="s">
        <v>14</v>
      </c>
      <c r="N10" s="24" t="s">
        <v>14</v>
      </c>
      <c r="O10" s="20" t="s">
        <v>15</v>
      </c>
      <c r="P10" s="21" t="s">
        <v>15</v>
      </c>
      <c r="Q10" s="24" t="s">
        <v>15</v>
      </c>
      <c r="R10" s="20" t="s">
        <v>16</v>
      </c>
      <c r="S10" s="21" t="s">
        <v>16</v>
      </c>
      <c r="T10" s="24" t="s">
        <v>16</v>
      </c>
      <c r="U10" s="20" t="s">
        <v>17</v>
      </c>
      <c r="V10" s="21" t="s">
        <v>17</v>
      </c>
      <c r="W10" s="24" t="s">
        <v>17</v>
      </c>
      <c r="X10" s="20" t="s">
        <v>18</v>
      </c>
      <c r="Y10" s="21" t="s">
        <v>18</v>
      </c>
      <c r="Z10" s="24" t="s">
        <v>18</v>
      </c>
      <c r="AA10" s="20" t="s">
        <v>19</v>
      </c>
      <c r="AB10" s="21" t="s">
        <v>19</v>
      </c>
      <c r="AC10" s="24" t="s">
        <v>19</v>
      </c>
      <c r="AD10" s="20" t="s">
        <v>20</v>
      </c>
      <c r="AE10" s="21" t="s">
        <v>20</v>
      </c>
      <c r="AF10" s="24" t="s">
        <v>20</v>
      </c>
      <c r="AG10" s="20" t="s">
        <v>21</v>
      </c>
      <c r="AH10" s="21" t="s">
        <v>21</v>
      </c>
      <c r="AI10" s="24" t="s">
        <v>21</v>
      </c>
      <c r="AJ10" s="20" t="s">
        <v>22</v>
      </c>
      <c r="AK10" s="21" t="s">
        <v>22</v>
      </c>
      <c r="AL10" s="24" t="s">
        <v>22</v>
      </c>
      <c r="AM10" s="20" t="s">
        <v>23</v>
      </c>
      <c r="AN10" s="21" t="s">
        <v>23</v>
      </c>
      <c r="AO10" s="24" t="s">
        <v>23</v>
      </c>
      <c r="AP10" s="20" t="s">
        <v>24</v>
      </c>
      <c r="AQ10" s="21" t="s">
        <v>24</v>
      </c>
      <c r="AR10" s="24" t="s">
        <v>24</v>
      </c>
    </row>
    <row r="11" spans="1:44" ht="14.25" customHeight="1">
      <c r="A11" s="25"/>
      <c r="B11" s="26" t="s">
        <v>25</v>
      </c>
      <c r="C11" s="27" cm="1">
        <f t="array" ref="C11">_xlfn.SWITCH($E$5, $H$1, C30, $H$2, C41, $H$3, C52, $H$4, C63)</f>
        <v>135000</v>
      </c>
      <c r="D11" s="27" cm="1">
        <f t="array" ref="D11">_xlfn.SWITCH($E$5, $H$1, D30, $H$2, D41, $H$3, D52, $H$4, D63)</f>
        <v>130000</v>
      </c>
      <c r="E11" s="27" cm="1">
        <f t="array" ref="E11">_xlfn.SWITCH($E$5, $H$1, E30, $H$2, E41, $H$3, E52, $H$4, E63)</f>
        <v>160000</v>
      </c>
      <c r="F11" s="27" cm="1">
        <f t="array" ref="F11">_xlfn.SWITCH($E$5, $H$1, F30, $H$2, F41, $H$3, F52, $H$4, F63)</f>
        <v>150000</v>
      </c>
      <c r="G11" s="27" cm="1">
        <f t="array" ref="G11">_xlfn.SWITCH($E$5, $H$1, G30, $H$2, G41, $H$3, G52, $H$4, G63)</f>
        <v>140000</v>
      </c>
      <c r="H11" s="27" cm="1">
        <f t="array" ref="H11">_xlfn.SWITCH($E$5, $H$1, H30, $H$2, H41, $H$3, H52, $H$4, H63)</f>
        <v>150000</v>
      </c>
      <c r="I11" s="27" cm="1">
        <f t="array" ref="I11">_xlfn.SWITCH($E$5, $H$1, I30, $H$2, I41, $H$3, I52, $H$4, I63)</f>
        <v>115000</v>
      </c>
      <c r="J11" s="27" cm="1">
        <f t="array" ref="J11">_xlfn.SWITCH($E$5, $H$1, J30, $H$2, J41, $H$3, J52, $H$4, J63)</f>
        <v>140000</v>
      </c>
      <c r="K11" s="27" cm="1">
        <f t="array" ref="K11">_xlfn.SWITCH($E$5, $H$1, K30, $H$2, K41, $H$3, K52, $H$4, K63)</f>
        <v>160000</v>
      </c>
      <c r="L11" s="27" cm="1">
        <f t="array" ref="L11">_xlfn.SWITCH($E$5, $H$1, L30, $H$2, L41, $H$3, L52, $H$4, L63)</f>
        <v>57</v>
      </c>
      <c r="M11" s="27" cm="1">
        <f t="array" ref="M11">_xlfn.SWITCH($E$5, $H$1, M30, $H$2, M41, $H$3, M52, $H$4, M63)</f>
        <v>58</v>
      </c>
      <c r="N11" s="27" cm="1">
        <f t="array" ref="N11">_xlfn.SWITCH($E$5, $H$1, N30, $H$2, N41, $H$3, N52, $H$4, N63)</f>
        <v>63</v>
      </c>
      <c r="O11" s="27" cm="1">
        <f t="array" ref="O11">_xlfn.SWITCH($E$5, $H$1, O30, $H$2, O41, $H$3, O52, $H$4, O63)</f>
        <v>25</v>
      </c>
      <c r="P11" s="27" cm="1">
        <f t="array" ref="P11">_xlfn.SWITCH($E$5, $H$1, P30, $H$2, P41, $H$3, P52, $H$4, P63)</f>
        <v>20</v>
      </c>
      <c r="Q11" s="27" cm="1">
        <f t="array" ref="Q11">_xlfn.SWITCH($E$5, $H$1, Q30, $H$2, Q41, $H$3, Q52, $H$4, Q63)</f>
        <v>25</v>
      </c>
      <c r="R11" s="27" cm="1">
        <f t="array" ref="R11">_xlfn.SWITCH($E$5, $H$1, R30, $H$2, R41, $H$3, R52, $H$4, R63)</f>
        <v>10</v>
      </c>
      <c r="S11" s="27" cm="1">
        <f t="array" ref="S11">_xlfn.SWITCH($E$5, $H$1, S30, $H$2, S41, $H$3, S52, $H$4, S63)</f>
        <v>11</v>
      </c>
      <c r="T11" s="27" cm="1">
        <f t="array" ref="T11">_xlfn.SWITCH($E$5, $H$1, T30, $H$2, T41, $H$3, T52, $H$4, T63)</f>
        <v>18</v>
      </c>
      <c r="U11" s="27" cm="1">
        <f t="array" ref="U11">_xlfn.SWITCH($E$5, $H$1, U30, $H$2, U41, $H$3, U52, $H$4, U63)</f>
        <v>9</v>
      </c>
      <c r="V11" s="27" cm="1">
        <f t="array" ref="V11">_xlfn.SWITCH($E$5, $H$1, V30, $H$2, V41, $H$3, V52, $H$4, V63)</f>
        <v>12</v>
      </c>
      <c r="W11" s="27" cm="1">
        <f t="array" ref="W11">_xlfn.SWITCH($E$5, $H$1, W30, $H$2, W41, $H$3, W52, $H$4, W63)</f>
        <v>14</v>
      </c>
      <c r="X11" s="27" cm="1">
        <f t="array" ref="X11">_xlfn.SWITCH($E$5, $H$1, X30, $H$2, X41, $H$3, X52, $H$4, X63)</f>
        <v>4200</v>
      </c>
      <c r="Y11" s="27" cm="1">
        <f t="array" ref="Y11">_xlfn.SWITCH($E$5, $H$1, Y30, $H$2, Y41, $H$3, Y52, $H$4, Y63)</f>
        <v>5000</v>
      </c>
      <c r="Z11" s="27" cm="1">
        <f t="array" ref="Z11">_xlfn.SWITCH($E$5, $H$1, Z30, $H$2, Z41, $H$3, Z52, $H$4, Z63)</f>
        <v>5500</v>
      </c>
      <c r="AA11" s="27" cm="1">
        <f t="array" ref="AA11">_xlfn.SWITCH($E$5, $H$1, AA30, $H$2, AA41, $H$3, AA52, $H$4, AA63)</f>
        <v>420</v>
      </c>
      <c r="AB11" s="27" cm="1">
        <f t="array" ref="AB11">_xlfn.SWITCH($E$5, $H$1, AB30, $H$2, AB41, $H$3, AB52, $H$4, AB63)</f>
        <v>454.55</v>
      </c>
      <c r="AC11" s="27" cm="1">
        <f t="array" ref="AC11">_xlfn.SWITCH($E$5, $H$1, AC30, $H$2, AC41, $H$3, AC52, $H$4, AC63)</f>
        <v>305.56</v>
      </c>
      <c r="AD11" s="27" cm="1">
        <f t="array" ref="AD11">_xlfn.SWITCH($E$5, $H$1, AD30, $H$2, AD41, $H$3, AD52, $H$4, AD63)</f>
        <v>350</v>
      </c>
      <c r="AE11" s="27" cm="1">
        <f t="array" ref="AE11">_xlfn.SWITCH($E$5, $H$1, AE30, $H$2, AE41, $H$3, AE52, $H$4, AE63)</f>
        <v>350</v>
      </c>
      <c r="AF11" s="27" cm="1">
        <f t="array" ref="AF11">_xlfn.SWITCH($E$5, $H$1, AF30, $H$2, AF41, $H$3, AF52, $H$4, AF63)</f>
        <v>350</v>
      </c>
      <c r="AG11" s="27" cm="1">
        <f t="array" ref="AG11">_xlfn.SWITCH($E$5, $H$1, AG30, $H$2, AG41, $H$3, AG52, $H$4, AG63)</f>
        <v>400</v>
      </c>
      <c r="AH11" s="27" cm="1">
        <f t="array" ref="AH11">_xlfn.SWITCH($E$5, $H$1, AH30, $H$2, AH41, $H$3, AH52, $H$4, AH63)</f>
        <v>385</v>
      </c>
      <c r="AI11" s="27" cm="1">
        <f t="array" ref="AI11">_xlfn.SWITCH($E$5, $H$1, AI30, $H$2, AI41, $H$3, AI52, $H$4, AI63)</f>
        <v>390</v>
      </c>
      <c r="AJ11" s="27" cm="1">
        <f t="array" ref="AJ11">_xlfn.SWITCH($E$5, $H$1, AJ30, $H$2, AJ41, $H$3, AJ52, $H$4, AJ63)</f>
        <v>2192.98</v>
      </c>
      <c r="AK11" s="27" cm="1">
        <f t="array" ref="AK11">_xlfn.SWITCH($E$5, $H$1, AK30, $H$2, AK41, $H$3, AK52, $H$4, AK63)</f>
        <v>2241.38</v>
      </c>
      <c r="AL11" s="27" cm="1">
        <f t="array" ref="AL11">_xlfn.SWITCH($E$5, $H$1, AL30, $H$2, AL41, $H$3, AL52, $H$4, AL63)</f>
        <v>2539.6799999999998</v>
      </c>
      <c r="AM11" s="27" cm="1">
        <f t="array" ref="AM11">_xlfn.SWITCH($E$5, $H$1, AM30, $H$2, AM41, $H$3, AM52, $H$4, AM63)</f>
        <v>2200</v>
      </c>
      <c r="AN11" s="27" cm="1">
        <f t="array" ref="AN11">_xlfn.SWITCH($E$5, $H$1, AN30, $H$2, AN41, $H$3, AN52, $H$4, AN63)</f>
        <v>2100</v>
      </c>
      <c r="AO11" s="27" cm="1">
        <f t="array" ref="AO11">_xlfn.SWITCH($E$5, $H$1, AO30, $H$2, AO41, $H$3, AO52, $H$4, AO63)</f>
        <v>2400</v>
      </c>
      <c r="AP11" s="27" cm="1">
        <f t="array" ref="AP11">_xlfn.SWITCH($E$5, $H$1, AP30, $H$2, AP41, $H$3, AP52, $H$4, AP63)</f>
        <v>2500</v>
      </c>
      <c r="AQ11" s="27" cm="1">
        <f t="array" ref="AQ11">_xlfn.SWITCH($E$5, $H$1, AQ30, $H$2, AQ41, $H$3, AQ52, $H$4, AQ63)</f>
        <v>2600</v>
      </c>
      <c r="AR11" s="27" cm="1">
        <f t="array" ref="AR11">_xlfn.SWITCH($E$5, $H$1, AR30, $H$2, AR41, $H$3, AR52, $H$4, AR63)</f>
        <v>2400</v>
      </c>
    </row>
    <row r="12" spans="1:44" ht="14.25" customHeight="1">
      <c r="A12" s="25"/>
      <c r="B12" s="26" t="s">
        <v>26</v>
      </c>
      <c r="C12" s="27" cm="1">
        <f t="array" ref="C12">_xlfn.SWITCH($E$5, $H$1, C31, $H$2, C42, $H$3, C53, $H$4, C64)</f>
        <v>170000</v>
      </c>
      <c r="D12" s="27" cm="1">
        <f t="array" ref="D12">_xlfn.SWITCH($E$5, $H$1, D31, $H$2, D42, $H$3, D53, $H$4, D64)</f>
        <v>160000</v>
      </c>
      <c r="E12" s="27" cm="1">
        <f t="array" ref="E12">_xlfn.SWITCH($E$5, $H$1, E31, $H$2, E42, $H$3, E53, $H$4, E64)</f>
        <v>185000</v>
      </c>
      <c r="F12" s="27" cm="1">
        <f t="array" ref="F12">_xlfn.SWITCH($E$5, $H$1, F31, $H$2, F42, $H$3, F53, $H$4, F64)</f>
        <v>150000</v>
      </c>
      <c r="G12" s="27" cm="1">
        <f t="array" ref="G12">_xlfn.SWITCH($E$5, $H$1, G31, $H$2, G42, $H$3, G53, $H$4, G64)</f>
        <v>140000</v>
      </c>
      <c r="H12" s="27" cm="1">
        <f t="array" ref="H12">_xlfn.SWITCH($E$5, $H$1, H31, $H$2, H42, $H$3, H53, $H$4, H64)</f>
        <v>150000</v>
      </c>
      <c r="I12" s="27" cm="1">
        <f t="array" ref="I12">_xlfn.SWITCH($E$5, $H$1, I31, $H$2, I42, $H$3, I53, $H$4, I64)</f>
        <v>160000</v>
      </c>
      <c r="J12" s="27" cm="1">
        <f t="array" ref="J12">_xlfn.SWITCH($E$5, $H$1, J31, $H$2, J42, $H$3, J53, $H$4, J64)</f>
        <v>130000</v>
      </c>
      <c r="K12" s="27" cm="1">
        <f t="array" ref="K12">_xlfn.SWITCH($E$5, $H$1, K31, $H$2, K42, $H$3, K53, $H$4, K64)</f>
        <v>125000</v>
      </c>
      <c r="L12" s="27" cm="1">
        <f t="array" ref="L12">_xlfn.SWITCH($E$5, $H$1, L31, $H$2, L42, $H$3, L53, $H$4, L64)</f>
        <v>74</v>
      </c>
      <c r="M12" s="27" cm="1">
        <f t="array" ref="M12">_xlfn.SWITCH($E$5, $H$1, M31, $H$2, M42, $H$3, M53, $H$4, M64)</f>
        <v>70</v>
      </c>
      <c r="N12" s="27" cm="1">
        <f t="array" ref="N12">_xlfn.SWITCH($E$5, $H$1, N31, $H$2, N42, $H$3, N53, $H$4, N64)</f>
        <v>74</v>
      </c>
      <c r="O12" s="27" cm="1">
        <f t="array" ref="O12">_xlfn.SWITCH($E$5, $H$1, O31, $H$2, O42, $H$3, O53, $H$4, O64)</f>
        <v>25</v>
      </c>
      <c r="P12" s="27" cm="1">
        <f t="array" ref="P12">_xlfn.SWITCH($E$5, $H$1, P31, $H$2, P42, $H$3, P53, $H$4, P64)</f>
        <v>20</v>
      </c>
      <c r="Q12" s="27" cm="1">
        <f t="array" ref="Q12">_xlfn.SWITCH($E$5, $H$1, Q31, $H$2, Q42, $H$3, Q53, $H$4, Q64)</f>
        <v>25</v>
      </c>
      <c r="R12" s="27" cm="1">
        <f t="array" ref="R12">_xlfn.SWITCH($E$5, $H$1, R31, $H$2, R42, $H$3, R53, $H$4, R64)</f>
        <v>22</v>
      </c>
      <c r="S12" s="27" cm="1">
        <f t="array" ref="S12">_xlfn.SWITCH($E$5, $H$1, S31, $H$2, S42, $H$3, S53, $H$4, S64)</f>
        <v>23</v>
      </c>
      <c r="T12" s="27" cm="1">
        <f t="array" ref="T12">_xlfn.SWITCH($E$5, $H$1, T31, $H$2, T42, $H$3, T53, $H$4, T64)</f>
        <v>26</v>
      </c>
      <c r="U12" s="27" cm="1">
        <f t="array" ref="U12">_xlfn.SWITCH($E$5, $H$1, U31, $H$2, U42, $H$3, U53, $H$4, U64)</f>
        <v>17</v>
      </c>
      <c r="V12" s="27" cm="1">
        <f t="array" ref="V12">_xlfn.SWITCH($E$5, $H$1, V31, $H$2, V42, $H$3, V53, $H$4, V64)</f>
        <v>24</v>
      </c>
      <c r="W12" s="27" cm="1">
        <f t="array" ref="W12">_xlfn.SWITCH($E$5, $H$1, W31, $H$2, W42, $H$3, W53, $H$4, W64)</f>
        <v>22</v>
      </c>
      <c r="X12" s="27" cm="1">
        <f t="array" ref="X12">_xlfn.SWITCH($E$5, $H$1, X31, $H$2, X42, $H$3, X53, $H$4, X64)</f>
        <v>7800</v>
      </c>
      <c r="Y12" s="27" cm="1">
        <f t="array" ref="Y12">_xlfn.SWITCH($E$5, $H$1, Y31, $H$2, Y42, $H$3, Y53, $H$4, Y64)</f>
        <v>10000</v>
      </c>
      <c r="Z12" s="27" cm="1">
        <f t="array" ref="Z12">_xlfn.SWITCH($E$5, $H$1, Z31, $H$2, Z42, $H$3, Z53, $H$4, Z64)</f>
        <v>9000</v>
      </c>
      <c r="AA12" s="27" cm="1">
        <f t="array" ref="AA12">_xlfn.SWITCH($E$5, $H$1, AA31, $H$2, AA42, $H$3, AA53, $H$4, AA64)</f>
        <v>354.55</v>
      </c>
      <c r="AB12" s="27" cm="1">
        <f t="array" ref="AB12">_xlfn.SWITCH($E$5, $H$1, AB31, $H$2, AB42, $H$3, AB53, $H$4, AB64)</f>
        <v>434.78</v>
      </c>
      <c r="AC12" s="27" cm="1">
        <f t="array" ref="AC12">_xlfn.SWITCH($E$5, $H$1, AC31, $H$2, AC42, $H$3, AC53, $H$4, AC64)</f>
        <v>346.15</v>
      </c>
      <c r="AD12" s="27" cm="1">
        <f t="array" ref="AD12">_xlfn.SWITCH($E$5, $H$1, AD31, $H$2, AD42, $H$3, AD53, $H$4, AD64)</f>
        <v>350</v>
      </c>
      <c r="AE12" s="27" cm="1">
        <f t="array" ref="AE12">_xlfn.SWITCH($E$5, $H$1, AE31, $H$2, AE42, $H$3, AE53, $H$4, AE64)</f>
        <v>350</v>
      </c>
      <c r="AF12" s="27" cm="1">
        <f t="array" ref="AF12">_xlfn.SWITCH($E$5, $H$1, AF31, $H$2, AF42, $H$3, AF53, $H$4, AF64)</f>
        <v>350</v>
      </c>
      <c r="AG12" s="27" cm="1">
        <f t="array" ref="AG12">_xlfn.SWITCH($E$5, $H$1, AG31, $H$2, AG42, $H$3, AG53, $H$4, AG64)</f>
        <v>402</v>
      </c>
      <c r="AH12" s="27" cm="1">
        <f t="array" ref="AH12">_xlfn.SWITCH($E$5, $H$1, AH31, $H$2, AH42, $H$3, AH53, $H$4, AH64)</f>
        <v>290</v>
      </c>
      <c r="AI12" s="27" cm="1">
        <f t="array" ref="AI12">_xlfn.SWITCH($E$5, $H$1, AI31, $H$2, AI42, $H$3, AI53, $H$4, AI64)</f>
        <v>380</v>
      </c>
      <c r="AJ12" s="27" cm="1">
        <f t="array" ref="AJ12">_xlfn.SWITCH($E$5, $H$1, AJ31, $H$2, AJ42, $H$3, AJ53, $H$4, AJ64)</f>
        <v>2432.4299999999998</v>
      </c>
      <c r="AK12" s="27" cm="1">
        <f t="array" ref="AK12">_xlfn.SWITCH($E$5, $H$1, AK31, $H$2, AK42, $H$3, AK53, $H$4, AK64)</f>
        <v>2285.71</v>
      </c>
      <c r="AL12" s="27" cm="1">
        <f t="array" ref="AL12">_xlfn.SWITCH($E$5, $H$1, AL31, $H$2, AL42, $H$3, AL53, $H$4, AL64)</f>
        <v>2500</v>
      </c>
      <c r="AM12" s="27" cm="1">
        <f t="array" ref="AM12">_xlfn.SWITCH($E$5, $H$1, AM31, $H$2, AM42, $H$3, AM53, $H$4, AM64)</f>
        <v>2100</v>
      </c>
      <c r="AN12" s="27" cm="1">
        <f t="array" ref="AN12">_xlfn.SWITCH($E$5, $H$1, AN31, $H$2, AN42, $H$3, AN53, $H$4, AN64)</f>
        <v>2200</v>
      </c>
      <c r="AO12" s="27" cm="1">
        <f t="array" ref="AO12">_xlfn.SWITCH($E$5, $H$1, AO31, $H$2, AO42, $H$3, AO53, $H$4, AO64)</f>
        <v>2300</v>
      </c>
      <c r="AP12" s="27" cm="1">
        <f t="array" ref="AP12">_xlfn.SWITCH($E$5, $H$1, AP31, $H$2, AP42, $H$3, AP53, $H$4, AP64)</f>
        <v>2500</v>
      </c>
      <c r="AQ12" s="27" cm="1">
        <f t="array" ref="AQ12">_xlfn.SWITCH($E$5, $H$1, AQ31, $H$2, AQ42, $H$3, AQ53, $H$4, AQ64)</f>
        <v>2600</v>
      </c>
      <c r="AR12" s="27" cm="1">
        <f t="array" ref="AR12">_xlfn.SWITCH($E$5, $H$1, AR31, $H$2, AR42, $H$3, AR53, $H$4, AR64)</f>
        <v>2400</v>
      </c>
    </row>
    <row r="13" spans="1:44" ht="14.25" customHeight="1">
      <c r="A13" s="25"/>
      <c r="B13" s="26" t="s">
        <v>27</v>
      </c>
      <c r="C13" s="27" cm="1">
        <f t="array" ref="C13">_xlfn.SWITCH($E$5, $H$1, C32, $H$2, C43, $H$3, C54, $H$4, C65)</f>
        <v>175000</v>
      </c>
      <c r="D13" s="27" cm="1">
        <f t="array" ref="D13">_xlfn.SWITCH($E$5, $H$1, D32, $H$2, D43, $H$3, D54, $H$4, D65)</f>
        <v>135000</v>
      </c>
      <c r="E13" s="27" cm="1">
        <f t="array" ref="E13">_xlfn.SWITCH($E$5, $H$1, E32, $H$2, E43, $H$3, E54, $H$4, E65)</f>
        <v>145000</v>
      </c>
      <c r="F13" s="27" cm="1">
        <f t="array" ref="F13">_xlfn.SWITCH($E$5, $H$1, F32, $H$2, F43, $H$3, F54, $H$4, F65)</f>
        <v>150000</v>
      </c>
      <c r="G13" s="27" cm="1">
        <f t="array" ref="G13">_xlfn.SWITCH($E$5, $H$1, G32, $H$2, G43, $H$3, G54, $H$4, G65)</f>
        <v>140000</v>
      </c>
      <c r="H13" s="27" cm="1">
        <f t="array" ref="H13">_xlfn.SWITCH($E$5, $H$1, H32, $H$2, H43, $H$3, H54, $H$4, H65)</f>
        <v>150000</v>
      </c>
      <c r="I13" s="27" cm="1">
        <f t="array" ref="I13">_xlfn.SWITCH($E$5, $H$1, I32, $H$2, I43, $H$3, I54, $H$4, I65)</f>
        <v>170000</v>
      </c>
      <c r="J13" s="27" cm="1">
        <f t="array" ref="J13">_xlfn.SWITCH($E$5, $H$1, J32, $H$2, J43, $H$3, J54, $H$4, J65)</f>
        <v>145000</v>
      </c>
      <c r="K13" s="27" cm="1">
        <f t="array" ref="K13">_xlfn.SWITCH($E$5, $H$1, K32, $H$2, K43, $H$3, K54, $H$4, K65)</f>
        <v>130000</v>
      </c>
      <c r="L13" s="27" cm="1">
        <f t="array" ref="L13">_xlfn.SWITCH($E$5, $H$1, L32, $H$2, L43, $H$3, L54, $H$4, L65)</f>
        <v>70</v>
      </c>
      <c r="M13" s="27" cm="1">
        <f t="array" ref="M13">_xlfn.SWITCH($E$5, $H$1, M32, $H$2, M43, $H$3, M54, $H$4, M65)</f>
        <v>55</v>
      </c>
      <c r="N13" s="27" cm="1">
        <f t="array" ref="N13">_xlfn.SWITCH($E$5, $H$1, N32, $H$2, N43, $H$3, N54, $H$4, N65)</f>
        <v>61</v>
      </c>
      <c r="O13" s="27" cm="1">
        <f t="array" ref="O13">_xlfn.SWITCH($E$5, $H$1, O32, $H$2, O43, $H$3, O54, $H$4, O65)</f>
        <v>25</v>
      </c>
      <c r="P13" s="27" cm="1">
        <f t="array" ref="P13">_xlfn.SWITCH($E$5, $H$1, P32, $H$2, P43, $H$3, P54, $H$4, P65)</f>
        <v>20</v>
      </c>
      <c r="Q13" s="27" cm="1">
        <f t="array" ref="Q13">_xlfn.SWITCH($E$5, $H$1, Q32, $H$2, Q43, $H$3, Q54, $H$4, Q65)</f>
        <v>25</v>
      </c>
      <c r="R13" s="27" cm="1">
        <f t="array" ref="R13">_xlfn.SWITCH($E$5, $H$1, R32, $H$2, R43, $H$3, R54, $H$4, R65)</f>
        <v>35</v>
      </c>
      <c r="S13" s="27" cm="1">
        <f t="array" ref="S13">_xlfn.SWITCH($E$5, $H$1, S32, $H$2, S43, $H$3, S54, $H$4, S65)</f>
        <v>20</v>
      </c>
      <c r="T13" s="27" cm="1">
        <f t="array" ref="T13">_xlfn.SWITCH($E$5, $H$1, T32, $H$2, T43, $H$3, T54, $H$4, T65)</f>
        <v>17</v>
      </c>
      <c r="U13" s="27" cm="1">
        <f t="array" ref="U13">_xlfn.SWITCH($E$5, $H$1, U32, $H$2, U43, $H$3, U54, $H$4, U65)</f>
        <v>36</v>
      </c>
      <c r="V13" s="27" cm="1">
        <f t="array" ref="V13">_xlfn.SWITCH($E$5, $H$1, V32, $H$2, V43, $H$3, V54, $H$4, V65)</f>
        <v>25</v>
      </c>
      <c r="W13" s="27" cm="1">
        <f t="array" ref="W13">_xlfn.SWITCH($E$5, $H$1, W32, $H$2, W43, $H$3, W54, $H$4, W65)</f>
        <v>21</v>
      </c>
      <c r="X13" s="27" cm="1">
        <f t="array" ref="X13">_xlfn.SWITCH($E$5, $H$1, X32, $H$2, X43, $H$3, X54, $H$4, X65)</f>
        <v>13200</v>
      </c>
      <c r="Y13" s="27" cm="1">
        <f t="array" ref="Y13">_xlfn.SWITCH($E$5, $H$1, Y32, $H$2, Y43, $H$3, Y54, $H$4, Y65)</f>
        <v>9500</v>
      </c>
      <c r="Z13" s="27" cm="1">
        <f t="array" ref="Z13">_xlfn.SWITCH($E$5, $H$1, Z32, $H$2, Z43, $H$3, Z54, $H$4, Z65)</f>
        <v>8300</v>
      </c>
      <c r="AA13" s="27" cm="1">
        <f t="array" ref="AA13">_xlfn.SWITCH($E$5, $H$1, AA32, $H$2, AA43, $H$3, AA54, $H$4, AA65)</f>
        <v>377.14</v>
      </c>
      <c r="AB13" s="27" cm="1">
        <f t="array" ref="AB13">_xlfn.SWITCH($E$5, $H$1, AB32, $H$2, AB43, $H$3, AB54, $H$4, AB65)</f>
        <v>475</v>
      </c>
      <c r="AC13" s="27" cm="1">
        <f t="array" ref="AC13">_xlfn.SWITCH($E$5, $H$1, AC32, $H$2, AC43, $H$3, AC54, $H$4, AC65)</f>
        <v>488.24</v>
      </c>
      <c r="AD13" s="27" cm="1">
        <f t="array" ref="AD13">_xlfn.SWITCH($E$5, $H$1, AD32, $H$2, AD43, $H$3, AD54, $H$4, AD65)</f>
        <v>350</v>
      </c>
      <c r="AE13" s="27" cm="1">
        <f t="array" ref="AE13">_xlfn.SWITCH($E$5, $H$1, AE32, $H$2, AE43, $H$3, AE54, $H$4, AE65)</f>
        <v>350</v>
      </c>
      <c r="AF13" s="27" cm="1">
        <f t="array" ref="AF13">_xlfn.SWITCH($E$5, $H$1, AF32, $H$2, AF43, $H$3, AF54, $H$4, AF65)</f>
        <v>350</v>
      </c>
      <c r="AG13" s="27" cm="1">
        <f t="array" ref="AG13">_xlfn.SWITCH($E$5, $H$1, AG32, $H$2, AG43, $H$3, AG54, $H$4, AG65)</f>
        <v>350</v>
      </c>
      <c r="AH13" s="27" cm="1">
        <f t="array" ref="AH13">_xlfn.SWITCH($E$5, $H$1, AH32, $H$2, AH43, $H$3, AH54, $H$4, AH65)</f>
        <v>385</v>
      </c>
      <c r="AI13" s="27" cm="1">
        <f t="array" ref="AI13">_xlfn.SWITCH($E$5, $H$1, AI32, $H$2, AI43, $H$3, AI54, $H$4, AI65)</f>
        <v>352</v>
      </c>
      <c r="AJ13" s="27" cm="1">
        <f t="array" ref="AJ13">_xlfn.SWITCH($E$5, $H$1, AJ32, $H$2, AJ43, $H$3, AJ54, $H$4, AJ65)</f>
        <v>2428.5700000000002</v>
      </c>
      <c r="AK13" s="27" cm="1">
        <f t="array" ref="AK13">_xlfn.SWITCH($E$5, $H$1, AK32, $H$2, AK43, $H$3, AK54, $H$4, AK65)</f>
        <v>2454.5500000000002</v>
      </c>
      <c r="AL13" s="27" cm="1">
        <f t="array" ref="AL13">_xlfn.SWITCH($E$5, $H$1, AL32, $H$2, AL43, $H$3, AL54, $H$4, AL65)</f>
        <v>2377.0500000000002</v>
      </c>
      <c r="AM13" s="27" cm="1">
        <f t="array" ref="AM13">_xlfn.SWITCH($E$5, $H$1, AM32, $H$2, AM43, $H$3, AM54, $H$4, AM65)</f>
        <v>2500</v>
      </c>
      <c r="AN13" s="27" cm="1">
        <f t="array" ref="AN13">_xlfn.SWITCH($E$5, $H$1, AN32, $H$2, AN43, $H$3, AN54, $H$4, AN65)</f>
        <v>2500</v>
      </c>
      <c r="AO13" s="27" cm="1">
        <f t="array" ref="AO13">_xlfn.SWITCH($E$5, $H$1, AO32, $H$2, AO43, $H$3, AO54, $H$4, AO65)</f>
        <v>2300</v>
      </c>
      <c r="AP13" s="27" cm="1">
        <f t="array" ref="AP13">_xlfn.SWITCH($E$5, $H$1, AP32, $H$2, AP43, $H$3, AP54, $H$4, AP65)</f>
        <v>2500</v>
      </c>
      <c r="AQ13" s="27" cm="1">
        <f t="array" ref="AQ13">_xlfn.SWITCH($E$5, $H$1, AQ32, $H$2, AQ43, $H$3, AQ54, $H$4, AQ65)</f>
        <v>2600</v>
      </c>
      <c r="AR13" s="27" cm="1">
        <f t="array" ref="AR13">_xlfn.SWITCH($E$5, $H$1, AR32, $H$2, AR43, $H$3, AR54, $H$4, AR65)</f>
        <v>2400</v>
      </c>
    </row>
    <row r="14" spans="1:44" ht="14.25" customHeight="1">
      <c r="A14" s="25"/>
      <c r="B14" s="26" t="s">
        <v>28</v>
      </c>
      <c r="C14" s="27" cm="1">
        <f t="array" ref="C14">_xlfn.SWITCH($E$5, $H$1, C33, $H$2, C44, $H$3, C55, $H$4, C66)</f>
        <v>156000</v>
      </c>
      <c r="D14" s="27" cm="1">
        <f t="array" ref="D14">_xlfn.SWITCH($E$5, $H$1, D33, $H$2, D44, $H$3, D55, $H$4, D66)</f>
        <v>175000</v>
      </c>
      <c r="E14" s="27" cm="1">
        <f t="array" ref="E14">_xlfn.SWITCH($E$5, $H$1, E33, $H$2, E44, $H$3, E55, $H$4, E66)</f>
        <v>155000</v>
      </c>
      <c r="F14" s="27" cm="1">
        <f t="array" ref="F14">_xlfn.SWITCH($E$5, $H$1, F33, $H$2, F44, $H$3, F55, $H$4, F66)</f>
        <v>150000</v>
      </c>
      <c r="G14" s="27" cm="1">
        <f t="array" ref="G14">_xlfn.SWITCH($E$5, $H$1, G33, $H$2, G44, $H$3, G55, $H$4, G66)</f>
        <v>140000</v>
      </c>
      <c r="H14" s="27" cm="1">
        <f t="array" ref="H14">_xlfn.SWITCH($E$5, $H$1, H33, $H$2, H44, $H$3, H55, $H$4, H66)</f>
        <v>150000</v>
      </c>
      <c r="I14" s="27" cm="1">
        <f t="array" ref="I14">_xlfn.SWITCH($E$5, $H$1, I33, $H$2, I44, $H$3, I55, $H$4, I66)</f>
        <v>165000</v>
      </c>
      <c r="J14" s="27" cm="1">
        <f t="array" ref="J14">_xlfn.SWITCH($E$5, $H$1, J33, $H$2, J44, $H$3, J55, $H$4, J66)</f>
        <v>155000</v>
      </c>
      <c r="K14" s="27" cm="1">
        <f t="array" ref="K14">_xlfn.SWITCH($E$5, $H$1, K33, $H$2, K44, $H$3, K55, $H$4, K66)</f>
        <v>140000</v>
      </c>
      <c r="L14" s="27" cm="1">
        <f t="array" ref="L14">_xlfn.SWITCH($E$5, $H$1, L33, $H$2, L44, $H$3, L55, $H$4, L66)</f>
        <v>66</v>
      </c>
      <c r="M14" s="27" cm="1">
        <f t="array" ref="M14">_xlfn.SWITCH($E$5, $H$1, M33, $H$2, M44, $H$3, M55, $H$4, M66)</f>
        <v>68</v>
      </c>
      <c r="N14" s="27" cm="1">
        <f t="array" ref="N14">_xlfn.SWITCH($E$5, $H$1, N33, $H$2, N44, $H$3, N55, $H$4, N66)</f>
        <v>63</v>
      </c>
      <c r="O14" s="27" cm="1">
        <f t="array" ref="O14">_xlfn.SWITCH($E$5, $H$1, O33, $H$2, O44, $H$3, O55, $H$4, O66)</f>
        <v>25</v>
      </c>
      <c r="P14" s="27" cm="1">
        <f t="array" ref="P14">_xlfn.SWITCH($E$5, $H$1, P33, $H$2, P44, $H$3, P55, $H$4, P66)</f>
        <v>20</v>
      </c>
      <c r="Q14" s="27" cm="1">
        <f t="array" ref="Q14">_xlfn.SWITCH($E$5, $H$1, Q33, $H$2, Q44, $H$3, Q55, $H$4, Q66)</f>
        <v>25</v>
      </c>
      <c r="R14" s="27" cm="1">
        <f t="array" ref="R14">_xlfn.SWITCH($E$5, $H$1, R33, $H$2, R44, $H$3, R55, $H$4, R66)</f>
        <v>18</v>
      </c>
      <c r="S14" s="27" cm="1">
        <f t="array" ref="S14">_xlfn.SWITCH($E$5, $H$1, S33, $H$2, S44, $H$3, S55, $H$4, S66)</f>
        <v>14</v>
      </c>
      <c r="T14" s="27" cm="1">
        <f t="array" ref="T14">_xlfn.SWITCH($E$5, $H$1, T33, $H$2, T44, $H$3, T55, $H$4, T66)</f>
        <v>24</v>
      </c>
      <c r="U14" s="27" cm="1">
        <f t="array" ref="U14">_xlfn.SWITCH($E$5, $H$1, U33, $H$2, U44, $H$3, U55, $H$4, U66)</f>
        <v>14</v>
      </c>
      <c r="V14" s="27" cm="1">
        <f t="array" ref="V14">_xlfn.SWITCH($E$5, $H$1, V33, $H$2, V44, $H$3, V55, $H$4, V66)</f>
        <v>25</v>
      </c>
      <c r="W14" s="27" cm="1">
        <f t="array" ref="W14">_xlfn.SWITCH($E$5, $H$1, W33, $H$2, W44, $H$3, W55, $H$4, W66)</f>
        <v>22</v>
      </c>
      <c r="X14" s="27" cm="1">
        <f t="array" ref="X14">_xlfn.SWITCH($E$5, $H$1, X33, $H$2, X44, $H$3, X55, $H$4, X66)</f>
        <v>6500</v>
      </c>
      <c r="Y14" s="27" cm="1">
        <f t="array" ref="Y14">_xlfn.SWITCH($E$5, $H$1, Y33, $H$2, Y44, $H$3, Y55, $H$4, Y66)</f>
        <v>9000</v>
      </c>
      <c r="Z14" s="27" cm="1">
        <f t="array" ref="Z14">_xlfn.SWITCH($E$5, $H$1, Z33, $H$2, Z44, $H$3, Z55, $H$4, Z66)</f>
        <v>8500</v>
      </c>
      <c r="AA14" s="27" cm="1">
        <f t="array" ref="AA14">_xlfn.SWITCH($E$5, $H$1, AA33, $H$2, AA44, $H$3, AA55, $H$4, AA66)</f>
        <v>361.11</v>
      </c>
      <c r="AB14" s="27" cm="1">
        <f t="array" ref="AB14">_xlfn.SWITCH($E$5, $H$1, AB33, $H$2, AB44, $H$3, AB55, $H$4, AB66)</f>
        <v>642.86</v>
      </c>
      <c r="AC14" s="27" cm="1">
        <f t="array" ref="AC14">_xlfn.SWITCH($E$5, $H$1, AC33, $H$2, AC44, $H$3, AC55, $H$4, AC66)</f>
        <v>354.17</v>
      </c>
      <c r="AD14" s="27" cm="1">
        <f t="array" ref="AD14">_xlfn.SWITCH($E$5, $H$1, AD33, $H$2, AD44, $H$3, AD55, $H$4, AD66)</f>
        <v>350</v>
      </c>
      <c r="AE14" s="27" cm="1">
        <f t="array" ref="AE14">_xlfn.SWITCH($E$5, $H$1, AE33, $H$2, AE44, $H$3, AE55, $H$4, AE66)</f>
        <v>350</v>
      </c>
      <c r="AF14" s="27" cm="1">
        <f t="array" ref="AF14">_xlfn.SWITCH($E$5, $H$1, AF33, $H$2, AF44, $H$3, AF55, $H$4, AF66)</f>
        <v>350</v>
      </c>
      <c r="AG14" s="27" cm="1">
        <f t="array" ref="AG14">_xlfn.SWITCH($E$5, $H$1, AG33, $H$2, AG44, $H$3, AG55, $H$4, AG66)</f>
        <v>350</v>
      </c>
      <c r="AH14" s="27" cm="1">
        <f t="array" ref="AH14">_xlfn.SWITCH($E$5, $H$1, AH33, $H$2, AH44, $H$3, AH55, $H$4, AH66)</f>
        <v>360</v>
      </c>
      <c r="AI14" s="27" cm="1">
        <f t="array" ref="AI14">_xlfn.SWITCH($E$5, $H$1, AI33, $H$2, AI44, $H$3, AI55, $H$4, AI66)</f>
        <v>388</v>
      </c>
      <c r="AJ14" s="27" cm="1">
        <f t="array" ref="AJ14">_xlfn.SWITCH($E$5, $H$1, AJ33, $H$2, AJ44, $H$3, AJ55, $H$4, AJ66)</f>
        <v>2272.73</v>
      </c>
      <c r="AK14" s="27" cm="1">
        <f t="array" ref="AK14">_xlfn.SWITCH($E$5, $H$1, AK33, $H$2, AK44, $H$3, AK55, $H$4, AK66)</f>
        <v>2573.5300000000002</v>
      </c>
      <c r="AL14" s="27" cm="1">
        <f t="array" ref="AL14">_xlfn.SWITCH($E$5, $H$1, AL33, $H$2, AL44, $H$3, AL55, $H$4, AL66)</f>
        <v>2460.3200000000002</v>
      </c>
      <c r="AM14" s="27" cm="1">
        <f t="array" ref="AM14">_xlfn.SWITCH($E$5, $H$1, AM33, $H$2, AM44, $H$3, AM55, $H$4, AM66)</f>
        <v>2200</v>
      </c>
      <c r="AN14" s="27" cm="1">
        <f t="array" ref="AN14">_xlfn.SWITCH($E$5, $H$1, AN33, $H$2, AN44, $H$3, AN55, $H$4, AN66)</f>
        <v>2600</v>
      </c>
      <c r="AO14" s="27" cm="1">
        <f t="array" ref="AO14">_xlfn.SWITCH($E$5, $H$1, AO33, $H$2, AO44, $H$3, AO55, $H$4, AO66)</f>
        <v>2400</v>
      </c>
      <c r="AP14" s="27" cm="1">
        <f t="array" ref="AP14">_xlfn.SWITCH($E$5, $H$1, AP33, $H$2, AP44, $H$3, AP55, $H$4, AP66)</f>
        <v>2500</v>
      </c>
      <c r="AQ14" s="27" cm="1">
        <f t="array" ref="AQ14">_xlfn.SWITCH($E$5, $H$1, AQ33, $H$2, AQ44, $H$3, AQ55, $H$4, AQ66)</f>
        <v>2600</v>
      </c>
      <c r="AR14" s="27" cm="1">
        <f t="array" ref="AR14">_xlfn.SWITCH($E$5, $H$1, AR33, $H$2, AR44, $H$3, AR55, $H$4, AR66)</f>
        <v>2400</v>
      </c>
    </row>
    <row r="15" spans="1:44" ht="14.25" customHeight="1">
      <c r="A15" s="25"/>
      <c r="B15" s="26" t="s">
        <v>29</v>
      </c>
      <c r="C15" s="27" cm="1">
        <f t="array" ref="C15">_xlfn.SWITCH($E$5, $H$1, C34, $H$2, C45, $H$3, C56, $H$4, C67)</f>
        <v>135500</v>
      </c>
      <c r="D15" s="27" cm="1">
        <f t="array" ref="D15">_xlfn.SWITCH($E$5, $H$1, D34, $H$2, D45, $H$3, D56, $H$4, D67)</f>
        <v>190000</v>
      </c>
      <c r="E15" s="27" cm="1">
        <f t="array" ref="E15">_xlfn.SWITCH($E$5, $H$1, E34, $H$2, E45, $H$3, E56, $H$4, E67)</f>
        <v>140000</v>
      </c>
      <c r="F15" s="27" cm="1">
        <f t="array" ref="F15">_xlfn.SWITCH($E$5, $H$1, F34, $H$2, F45, $H$3, F56, $H$4, F67)</f>
        <v>150000</v>
      </c>
      <c r="G15" s="27" cm="1">
        <f t="array" ref="G15">_xlfn.SWITCH($E$5, $H$1, G34, $H$2, G45, $H$3, G56, $H$4, G67)</f>
        <v>140000</v>
      </c>
      <c r="H15" s="27" cm="1">
        <f t="array" ref="H15">_xlfn.SWITCH($E$5, $H$1, H34, $H$2, H45, $H$3, H56, $H$4, H67)</f>
        <v>150000</v>
      </c>
      <c r="I15" s="27" cm="1">
        <f t="array" ref="I15">_xlfn.SWITCH($E$5, $H$1, I34, $H$2, I45, $H$3, I56, $H$4, I67)</f>
        <v>155000</v>
      </c>
      <c r="J15" s="27" cm="1">
        <f t="array" ref="J15">_xlfn.SWITCH($E$5, $H$1, J34, $H$2, J45, $H$3, J56, $H$4, J67)</f>
        <v>120000</v>
      </c>
      <c r="K15" s="27" cm="1">
        <f t="array" ref="K15">_xlfn.SWITCH($E$5, $H$1, K34, $H$2, K45, $H$3, K56, $H$4, K67)</f>
        <v>150000</v>
      </c>
      <c r="L15" s="27" cm="1">
        <f t="array" ref="L15">_xlfn.SWITCH($E$5, $H$1, L34, $H$2, L45, $H$3, L56, $H$4, L67)</f>
        <v>71</v>
      </c>
      <c r="M15" s="27" cm="1">
        <f t="array" ref="M15">_xlfn.SWITCH($E$5, $H$1, M34, $H$2, M45, $H$3, M56, $H$4, M67)</f>
        <v>62</v>
      </c>
      <c r="N15" s="27" cm="1">
        <f t="array" ref="N15">_xlfn.SWITCH($E$5, $H$1, N34, $H$2, N45, $H$3, N56, $H$4, N67)</f>
        <v>51</v>
      </c>
      <c r="O15" s="27" cm="1">
        <f t="array" ref="O15">_xlfn.SWITCH($E$5, $H$1, O34, $H$2, O45, $H$3, O56, $H$4, O67)</f>
        <v>25</v>
      </c>
      <c r="P15" s="27" cm="1">
        <f t="array" ref="P15">_xlfn.SWITCH($E$5, $H$1, P34, $H$2, P45, $H$3, P56, $H$4, P67)</f>
        <v>20</v>
      </c>
      <c r="Q15" s="27" cm="1">
        <f t="array" ref="Q15">_xlfn.SWITCH($E$5, $H$1, Q34, $H$2, Q45, $H$3, Q56, $H$4, Q67)</f>
        <v>25</v>
      </c>
      <c r="R15" s="27" cm="1">
        <f t="array" ref="R15">_xlfn.SWITCH($E$5, $H$1, R34, $H$2, R45, $H$3, R56, $H$4, R67)</f>
        <v>33</v>
      </c>
      <c r="S15" s="27" cm="1">
        <f t="array" ref="S15">_xlfn.SWITCH($E$5, $H$1, S34, $H$2, S45, $H$3, S56, $H$4, S67)</f>
        <v>20</v>
      </c>
      <c r="T15" s="27" cm="1">
        <f t="array" ref="T15">_xlfn.SWITCH($E$5, $H$1, T34, $H$2, T45, $H$3, T56, $H$4, T67)</f>
        <v>16</v>
      </c>
      <c r="U15" s="27" cm="1">
        <f t="array" ref="U15">_xlfn.SWITCH($E$5, $H$1, U34, $H$2, U45, $H$3, U56, $H$4, U67)</f>
        <v>20</v>
      </c>
      <c r="V15" s="27" cm="1">
        <f t="array" ref="V15">_xlfn.SWITCH($E$5, $H$1, V34, $H$2, V45, $H$3, V56, $H$4, V67)</f>
        <v>25</v>
      </c>
      <c r="W15" s="27" cm="1">
        <f t="array" ref="W15">_xlfn.SWITCH($E$5, $H$1, W34, $H$2, W45, $H$3, W56, $H$4, W67)</f>
        <v>24</v>
      </c>
      <c r="X15" s="27" cm="1">
        <f t="array" ref="X15">_xlfn.SWITCH($E$5, $H$1, X34, $H$2, X45, $H$3, X56, $H$4, X67)</f>
        <v>12100</v>
      </c>
      <c r="Y15" s="27" cm="1">
        <f t="array" ref="Y15">_xlfn.SWITCH($E$5, $H$1, Y34, $H$2, Y45, $H$3, Y56, $H$4, Y67)</f>
        <v>10800</v>
      </c>
      <c r="Z15" s="27" cm="1">
        <f t="array" ref="Z15">_xlfn.SWITCH($E$5, $H$1, Z34, $H$2, Z45, $H$3, Z56, $H$4, Z67)</f>
        <v>10500</v>
      </c>
      <c r="AA15" s="27" cm="1">
        <f t="array" ref="AA15">_xlfn.SWITCH($E$5, $H$1, AA34, $H$2, AA45, $H$3, AA56, $H$4, AA67)</f>
        <v>366.67</v>
      </c>
      <c r="AB15" s="27" cm="1">
        <f t="array" ref="AB15">_xlfn.SWITCH($E$5, $H$1, AB34, $H$2, AB45, $H$3, AB56, $H$4, AB67)</f>
        <v>540</v>
      </c>
      <c r="AC15" s="27" cm="1">
        <f t="array" ref="AC15">_xlfn.SWITCH($E$5, $H$1, AC34, $H$2, AC45, $H$3, AC56, $H$4, AC67)</f>
        <v>656.25</v>
      </c>
      <c r="AD15" s="27" cm="1">
        <f t="array" ref="AD15">_xlfn.SWITCH($E$5, $H$1, AD34, $H$2, AD45, $H$3, AD56, $H$4, AD67)</f>
        <v>350</v>
      </c>
      <c r="AE15" s="27" cm="1">
        <f t="array" ref="AE15">_xlfn.SWITCH($E$5, $H$1, AE34, $H$2, AE45, $H$3, AE56, $H$4, AE67)</f>
        <v>350</v>
      </c>
      <c r="AF15" s="27" cm="1">
        <f t="array" ref="AF15">_xlfn.SWITCH($E$5, $H$1, AF34, $H$2, AF45, $H$3, AF56, $H$4, AF67)</f>
        <v>350</v>
      </c>
      <c r="AG15" s="27" cm="1">
        <f t="array" ref="AG15">_xlfn.SWITCH($E$5, $H$1, AG34, $H$2, AG45, $H$3, AG56, $H$4, AG67)</f>
        <v>385</v>
      </c>
      <c r="AH15" s="27" cm="1">
        <f t="array" ref="AH15">_xlfn.SWITCH($E$5, $H$1, AH34, $H$2, AH45, $H$3, AH56, $H$4, AH67)</f>
        <v>350</v>
      </c>
      <c r="AI15" s="27" cm="1">
        <f t="array" ref="AI15">_xlfn.SWITCH($E$5, $H$1, AI34, $H$2, AI45, $H$3, AI56, $H$4, AI67)</f>
        <v>406</v>
      </c>
      <c r="AJ15" s="27" cm="1">
        <f t="array" ref="AJ15">_xlfn.SWITCH($E$5, $H$1, AJ34, $H$2, AJ45, $H$3, AJ56, $H$4, AJ67)</f>
        <v>1901.41</v>
      </c>
      <c r="AK15" s="27" cm="1">
        <f t="array" ref="AK15">_xlfn.SWITCH($E$5, $H$1, AK34, $H$2, AK45, $H$3, AK56, $H$4, AK67)</f>
        <v>3064.52</v>
      </c>
      <c r="AL15" s="27" cm="1">
        <f t="array" ref="AL15">_xlfn.SWITCH($E$5, $H$1, AL34, $H$2, AL45, $H$3, AL56, $H$4, AL67)</f>
        <v>2745.1</v>
      </c>
      <c r="AM15" s="27" cm="1">
        <f t="array" ref="AM15">_xlfn.SWITCH($E$5, $H$1, AM34, $H$2, AM45, $H$3, AM56, $H$4, AM67)</f>
        <v>2100</v>
      </c>
      <c r="AN15" s="27" cm="1">
        <f t="array" ref="AN15">_xlfn.SWITCH($E$5, $H$1, AN34, $H$2, AN45, $H$3, AN56, $H$4, AN67)</f>
        <v>2800</v>
      </c>
      <c r="AO15" s="27" cm="1">
        <f t="array" ref="AO15">_xlfn.SWITCH($E$5, $H$1, AO34, $H$2, AO45, $H$3, AO56, $H$4, AO67)</f>
        <v>2700</v>
      </c>
      <c r="AP15" s="27" cm="1">
        <f t="array" ref="AP15">_xlfn.SWITCH($E$5, $H$1, AP34, $H$2, AP45, $H$3, AP56, $H$4, AP67)</f>
        <v>2500</v>
      </c>
      <c r="AQ15" s="27" cm="1">
        <f t="array" ref="AQ15">_xlfn.SWITCH($E$5, $H$1, AQ34, $H$2, AQ45, $H$3, AQ56, $H$4, AQ67)</f>
        <v>2600</v>
      </c>
      <c r="AR15" s="27" cm="1">
        <f t="array" ref="AR15">_xlfn.SWITCH($E$5, $H$1, AR34, $H$2, AR45, $H$3, AR56, $H$4, AR67)</f>
        <v>2400</v>
      </c>
    </row>
    <row r="16" spans="1:44" ht="14.25" customHeight="1">
      <c r="A16" s="25"/>
      <c r="B16" s="28" t="s">
        <v>30</v>
      </c>
      <c r="C16" s="27">
        <f>SUM(C11:C15)</f>
        <v>771500</v>
      </c>
      <c r="D16" s="27">
        <f>SUM(D11:D15)</f>
        <v>790000</v>
      </c>
      <c r="E16" s="27">
        <f>SUM(E11:E15)</f>
        <v>785000</v>
      </c>
      <c r="F16" s="27">
        <f>SUM(F11:F15)</f>
        <v>750000</v>
      </c>
      <c r="G16" s="27">
        <f>SUM(G11:G15)</f>
        <v>700000</v>
      </c>
      <c r="H16" s="27">
        <f>SUM(H11:H15)</f>
        <v>750000</v>
      </c>
      <c r="I16" s="27">
        <f>SUM(I11:I15)</f>
        <v>765000</v>
      </c>
      <c r="J16" s="27">
        <f>SUM(J11:J15)</f>
        <v>690000</v>
      </c>
      <c r="K16" s="27">
        <f>SUM(K11:K15)</f>
        <v>705000</v>
      </c>
      <c r="L16" s="27">
        <f>SUM(L11:L15)</f>
        <v>338</v>
      </c>
      <c r="M16" s="27">
        <f t="shared" ref="M16:P16" si="0">SUM(M11:M15)</f>
        <v>313</v>
      </c>
      <c r="N16" s="27">
        <f t="shared" si="0"/>
        <v>312</v>
      </c>
      <c r="O16" s="27">
        <f t="shared" si="0"/>
        <v>125</v>
      </c>
      <c r="P16" s="27">
        <f t="shared" si="0"/>
        <v>100</v>
      </c>
      <c r="Q16" s="27">
        <f t="shared" ref="Q16" si="1">SUM(Q11:Q15)</f>
        <v>125</v>
      </c>
      <c r="R16" s="27">
        <f t="shared" ref="R16" si="2">SUM(R11:R15)</f>
        <v>118</v>
      </c>
      <c r="S16" s="27">
        <f t="shared" ref="S16" si="3">SUM(S11:S15)</f>
        <v>88</v>
      </c>
      <c r="T16" s="27">
        <f t="shared" ref="T16" si="4">SUM(T11:T15)</f>
        <v>101</v>
      </c>
      <c r="U16" s="27">
        <f t="shared" ref="U16" si="5">SUM(U11:U15)</f>
        <v>96</v>
      </c>
      <c r="V16" s="27">
        <f t="shared" ref="V16" si="6">SUM(V11:V15)</f>
        <v>111</v>
      </c>
      <c r="W16" s="27">
        <f t="shared" ref="W16" si="7">SUM(W11:W15)</f>
        <v>103</v>
      </c>
      <c r="X16" s="27">
        <f t="shared" ref="X16" si="8">SUM(X11:X15)</f>
        <v>43800</v>
      </c>
      <c r="Y16" s="27">
        <f t="shared" ref="Y16" si="9">SUM(Y11:Y15)</f>
        <v>44300</v>
      </c>
      <c r="Z16" s="27">
        <f t="shared" ref="Z16" si="10">SUM(Z11:Z15)</f>
        <v>41800</v>
      </c>
      <c r="AA16" s="27">
        <f t="shared" ref="AA16" si="11">SUM(AA11:AA15)</f>
        <v>1879.4700000000003</v>
      </c>
      <c r="AB16" s="27">
        <f t="shared" ref="AB16" si="12">SUM(AB11:AB15)</f>
        <v>2547.19</v>
      </c>
      <c r="AC16" s="27">
        <f t="shared" ref="AC16" si="13">SUM(AC11:AC15)</f>
        <v>2150.37</v>
      </c>
      <c r="AD16" s="27">
        <f t="shared" ref="AD16" si="14">SUM(AD11:AD15)</f>
        <v>1750</v>
      </c>
      <c r="AE16" s="27">
        <f t="shared" ref="AE16" si="15">SUM(AE11:AE15)</f>
        <v>1750</v>
      </c>
      <c r="AF16" s="27">
        <f t="shared" ref="AF16" si="16">SUM(AF11:AF15)</f>
        <v>1750</v>
      </c>
      <c r="AG16" s="27">
        <f t="shared" ref="AG16" si="17">SUM(AG11:AG15)</f>
        <v>1887</v>
      </c>
      <c r="AH16" s="27">
        <f t="shared" ref="AH16" si="18">SUM(AH11:AH15)</f>
        <v>1770</v>
      </c>
      <c r="AI16" s="27">
        <f t="shared" ref="AI16" si="19">SUM(AI11:AI15)</f>
        <v>1916</v>
      </c>
      <c r="AJ16" s="27">
        <f t="shared" ref="AJ16" si="20">SUM(AJ11:AJ15)</f>
        <v>11228.119999999999</v>
      </c>
      <c r="AK16" s="27">
        <f t="shared" ref="AK16" si="21">SUM(AK11:AK15)</f>
        <v>12619.69</v>
      </c>
      <c r="AL16" s="27">
        <f t="shared" ref="AL16" si="22">SUM(AL11:AL15)</f>
        <v>12622.150000000001</v>
      </c>
      <c r="AM16" s="27">
        <f t="shared" ref="AM16" si="23">SUM(AM11:AM15)</f>
        <v>11100</v>
      </c>
      <c r="AN16" s="27">
        <f t="shared" ref="AN16" si="24">SUM(AN11:AN15)</f>
        <v>12200</v>
      </c>
      <c r="AO16" s="27">
        <f t="shared" ref="AO16" si="25">SUM(AO11:AO15)</f>
        <v>12100</v>
      </c>
      <c r="AP16" s="27">
        <f t="shared" ref="AP16" si="26">SUM(AP11:AP15)</f>
        <v>12500</v>
      </c>
      <c r="AQ16" s="27">
        <f t="shared" ref="AQ16" si="27">SUM(AQ11:AQ15)</f>
        <v>13000</v>
      </c>
      <c r="AR16" s="27">
        <f t="shared" ref="AR16" si="28">SUM(AR11:AR15)</f>
        <v>12000</v>
      </c>
    </row>
    <row r="17" spans="1:44" ht="14.25" customHeight="1">
      <c r="A17" s="29"/>
      <c r="B17" s="30"/>
      <c r="C17" s="30"/>
      <c r="D17" s="75"/>
      <c r="E17" s="30"/>
      <c r="F17" s="30"/>
      <c r="G17" s="30"/>
      <c r="H17" s="30"/>
      <c r="I17" s="30"/>
      <c r="J17" s="30"/>
      <c r="K17" s="30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</row>
    <row r="18" spans="1:44" ht="23.4" customHeight="1">
      <c r="A18" s="31"/>
      <c r="B18" s="32" t="s">
        <v>31</v>
      </c>
      <c r="C18" s="31"/>
      <c r="D18" s="33">
        <f>SUM(C35:E35,C46:E46,C57:E57,C68:E68)</f>
        <v>9271500</v>
      </c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</row>
    <row r="19" spans="1:44" ht="21.6" customHeight="1">
      <c r="A19" s="31"/>
      <c r="B19" s="32" t="s">
        <v>32</v>
      </c>
      <c r="C19" s="31"/>
      <c r="D19" s="34">
        <f>SUM(L35:N35,L46:N46,L57:N57,L68:N68)</f>
        <v>3799</v>
      </c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</row>
    <row r="20" spans="1:44" ht="22.8" customHeight="1">
      <c r="A20" s="31"/>
      <c r="B20" s="32" t="s">
        <v>33</v>
      </c>
      <c r="C20" s="31"/>
      <c r="D20" s="34">
        <f>SUM(R35:T35,R46:T46,R57:T57,R68:T68)</f>
        <v>1228</v>
      </c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</row>
    <row r="21" spans="1:44" ht="18" customHeight="1">
      <c r="A21" s="31"/>
      <c r="B21" s="32" t="s">
        <v>34</v>
      </c>
      <c r="C21" s="31"/>
      <c r="D21" s="33">
        <f>D18/D19</f>
        <v>2440.5106607001844</v>
      </c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</row>
    <row r="22" spans="1:44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</row>
    <row r="23" spans="1:44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</row>
    <row r="24" spans="1:44" ht="8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</row>
    <row r="25" spans="1:44" ht="14.25" hidden="1" customHeight="1">
      <c r="A25" s="1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</row>
    <row r="26" spans="1:44" ht="14.25" hidden="1" customHeight="1">
      <c r="A26" s="36"/>
      <c r="B26" s="37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7"/>
    </row>
    <row r="27" spans="1:44" ht="52.5" customHeight="1">
      <c r="A27" s="36"/>
      <c r="B27" s="37"/>
      <c r="C27" s="58" t="s">
        <v>35</v>
      </c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60"/>
    </row>
    <row r="28" spans="1:44" ht="14.25" customHeight="1">
      <c r="A28" s="36"/>
      <c r="B28" s="37"/>
      <c r="C28" s="39" t="s">
        <v>36</v>
      </c>
      <c r="D28" s="39" t="s">
        <v>37</v>
      </c>
      <c r="E28" s="40" t="s">
        <v>38</v>
      </c>
      <c r="F28" s="39" t="s">
        <v>36</v>
      </c>
      <c r="G28" s="39" t="s">
        <v>37</v>
      </c>
      <c r="H28" s="40" t="s">
        <v>38</v>
      </c>
      <c r="I28" s="39" t="s">
        <v>36</v>
      </c>
      <c r="J28" s="39" t="s">
        <v>37</v>
      </c>
      <c r="K28" s="40" t="s">
        <v>38</v>
      </c>
      <c r="L28" s="39" t="s">
        <v>36</v>
      </c>
      <c r="M28" s="39" t="s">
        <v>37</v>
      </c>
      <c r="N28" s="40" t="s">
        <v>38</v>
      </c>
      <c r="O28" s="39" t="s">
        <v>36</v>
      </c>
      <c r="P28" s="39" t="s">
        <v>37</v>
      </c>
      <c r="Q28" s="40" t="s">
        <v>38</v>
      </c>
      <c r="R28" s="39" t="s">
        <v>36</v>
      </c>
      <c r="S28" s="39" t="s">
        <v>37</v>
      </c>
      <c r="T28" s="40" t="s">
        <v>38</v>
      </c>
      <c r="U28" s="39" t="s">
        <v>36</v>
      </c>
      <c r="V28" s="39" t="s">
        <v>37</v>
      </c>
      <c r="W28" s="40" t="s">
        <v>38</v>
      </c>
      <c r="X28" s="39" t="s">
        <v>36</v>
      </c>
      <c r="Y28" s="39" t="s">
        <v>37</v>
      </c>
      <c r="Z28" s="40" t="s">
        <v>38</v>
      </c>
      <c r="AA28" s="39" t="s">
        <v>36</v>
      </c>
      <c r="AB28" s="39" t="s">
        <v>37</v>
      </c>
      <c r="AC28" s="40" t="s">
        <v>38</v>
      </c>
      <c r="AD28" s="39" t="s">
        <v>36</v>
      </c>
      <c r="AE28" s="39" t="s">
        <v>37</v>
      </c>
      <c r="AF28" s="40" t="s">
        <v>38</v>
      </c>
      <c r="AG28" s="39" t="s">
        <v>36</v>
      </c>
      <c r="AH28" s="39" t="s">
        <v>37</v>
      </c>
      <c r="AI28" s="40" t="s">
        <v>38</v>
      </c>
      <c r="AJ28" s="39" t="s">
        <v>36</v>
      </c>
      <c r="AK28" s="39" t="s">
        <v>37</v>
      </c>
      <c r="AL28" s="40" t="s">
        <v>38</v>
      </c>
      <c r="AM28" s="39" t="s">
        <v>36</v>
      </c>
      <c r="AN28" s="39" t="s">
        <v>37</v>
      </c>
      <c r="AO28" s="40" t="s">
        <v>38</v>
      </c>
      <c r="AP28" s="39" t="s">
        <v>36</v>
      </c>
      <c r="AQ28" s="39" t="s">
        <v>37</v>
      </c>
      <c r="AR28" s="40" t="s">
        <v>38</v>
      </c>
    </row>
    <row r="29" spans="1:44" ht="14.25" customHeight="1">
      <c r="A29" s="36"/>
      <c r="B29" s="37"/>
      <c r="C29" s="41" t="s">
        <v>11</v>
      </c>
      <c r="D29" s="41" t="s">
        <v>11</v>
      </c>
      <c r="E29" s="42" t="s">
        <v>11</v>
      </c>
      <c r="F29" s="41" t="s">
        <v>12</v>
      </c>
      <c r="G29" s="41" t="s">
        <v>12</v>
      </c>
      <c r="H29" s="42" t="s">
        <v>12</v>
      </c>
      <c r="I29" s="41" t="s">
        <v>13</v>
      </c>
      <c r="J29" s="41" t="s">
        <v>13</v>
      </c>
      <c r="K29" s="42" t="s">
        <v>13</v>
      </c>
      <c r="L29" s="41" t="s">
        <v>14</v>
      </c>
      <c r="M29" s="41" t="s">
        <v>14</v>
      </c>
      <c r="N29" s="42" t="s">
        <v>14</v>
      </c>
      <c r="O29" s="41" t="s">
        <v>15</v>
      </c>
      <c r="P29" s="41" t="s">
        <v>15</v>
      </c>
      <c r="Q29" s="42" t="s">
        <v>15</v>
      </c>
      <c r="R29" s="41" t="s">
        <v>16</v>
      </c>
      <c r="S29" s="41" t="s">
        <v>16</v>
      </c>
      <c r="T29" s="42" t="s">
        <v>16</v>
      </c>
      <c r="U29" s="41" t="s">
        <v>17</v>
      </c>
      <c r="V29" s="41" t="s">
        <v>17</v>
      </c>
      <c r="W29" s="42" t="s">
        <v>17</v>
      </c>
      <c r="X29" s="41" t="s">
        <v>18</v>
      </c>
      <c r="Y29" s="41" t="s">
        <v>18</v>
      </c>
      <c r="Z29" s="42" t="s">
        <v>18</v>
      </c>
      <c r="AA29" s="41" t="s">
        <v>19</v>
      </c>
      <c r="AB29" s="41" t="s">
        <v>19</v>
      </c>
      <c r="AC29" s="42" t="s">
        <v>19</v>
      </c>
      <c r="AD29" s="41" t="s">
        <v>20</v>
      </c>
      <c r="AE29" s="41" t="s">
        <v>20</v>
      </c>
      <c r="AF29" s="42" t="s">
        <v>20</v>
      </c>
      <c r="AG29" s="41" t="s">
        <v>21</v>
      </c>
      <c r="AH29" s="41" t="s">
        <v>21</v>
      </c>
      <c r="AI29" s="42" t="s">
        <v>21</v>
      </c>
      <c r="AJ29" s="41" t="s">
        <v>22</v>
      </c>
      <c r="AK29" s="41" t="s">
        <v>22</v>
      </c>
      <c r="AL29" s="42" t="s">
        <v>22</v>
      </c>
      <c r="AM29" s="41" t="s">
        <v>23</v>
      </c>
      <c r="AN29" s="41" t="s">
        <v>23</v>
      </c>
      <c r="AO29" s="42" t="s">
        <v>23</v>
      </c>
      <c r="AP29" s="41" t="s">
        <v>24</v>
      </c>
      <c r="AQ29" s="41" t="s">
        <v>24</v>
      </c>
      <c r="AR29" s="42" t="s">
        <v>24</v>
      </c>
    </row>
    <row r="30" spans="1:44" ht="14.25" customHeight="1">
      <c r="A30" s="43"/>
      <c r="B30" s="43" t="s">
        <v>25</v>
      </c>
      <c r="C30" s="43">
        <v>135000</v>
      </c>
      <c r="D30" s="43">
        <v>130000</v>
      </c>
      <c r="E30" s="43">
        <v>160000</v>
      </c>
      <c r="F30" s="43">
        <v>150000</v>
      </c>
      <c r="G30" s="43">
        <v>140000</v>
      </c>
      <c r="H30" s="43">
        <v>150000</v>
      </c>
      <c r="I30" s="43">
        <v>115000</v>
      </c>
      <c r="J30" s="43">
        <v>140000</v>
      </c>
      <c r="K30" s="43">
        <v>160000</v>
      </c>
      <c r="L30" s="43">
        <v>57</v>
      </c>
      <c r="M30" s="43">
        <v>58</v>
      </c>
      <c r="N30" s="43">
        <v>63</v>
      </c>
      <c r="O30" s="43">
        <v>25</v>
      </c>
      <c r="P30" s="43">
        <v>20</v>
      </c>
      <c r="Q30" s="43">
        <v>25</v>
      </c>
      <c r="R30" s="43">
        <v>10</v>
      </c>
      <c r="S30" s="43">
        <v>11</v>
      </c>
      <c r="T30" s="43">
        <v>18</v>
      </c>
      <c r="U30" s="43">
        <v>9</v>
      </c>
      <c r="V30" s="43">
        <v>12</v>
      </c>
      <c r="W30" s="43">
        <v>14</v>
      </c>
      <c r="X30" s="43">
        <v>4200</v>
      </c>
      <c r="Y30" s="43">
        <v>5000</v>
      </c>
      <c r="Z30" s="43">
        <v>5500</v>
      </c>
      <c r="AA30" s="43">
        <v>420</v>
      </c>
      <c r="AB30" s="43">
        <v>454.55</v>
      </c>
      <c r="AC30" s="43">
        <v>305.56</v>
      </c>
      <c r="AD30" s="43">
        <v>350</v>
      </c>
      <c r="AE30" s="43">
        <v>350</v>
      </c>
      <c r="AF30" s="43">
        <v>350</v>
      </c>
      <c r="AG30" s="43">
        <v>400</v>
      </c>
      <c r="AH30" s="43">
        <v>385</v>
      </c>
      <c r="AI30" s="43">
        <v>390</v>
      </c>
      <c r="AJ30" s="43">
        <v>2192.98</v>
      </c>
      <c r="AK30" s="43">
        <v>2241.38</v>
      </c>
      <c r="AL30" s="43">
        <v>2539.6799999999998</v>
      </c>
      <c r="AM30" s="43">
        <v>2200</v>
      </c>
      <c r="AN30" s="43">
        <v>2100</v>
      </c>
      <c r="AO30" s="43">
        <v>2400</v>
      </c>
      <c r="AP30" s="43">
        <v>2500</v>
      </c>
      <c r="AQ30" s="43">
        <v>2600</v>
      </c>
      <c r="AR30" s="43">
        <v>2400</v>
      </c>
    </row>
    <row r="31" spans="1:44" ht="14.25" customHeight="1">
      <c r="A31" s="43"/>
      <c r="B31" s="43" t="s">
        <v>26</v>
      </c>
      <c r="C31" s="43">
        <v>170000</v>
      </c>
      <c r="D31" s="43">
        <v>160000</v>
      </c>
      <c r="E31" s="43">
        <v>185000</v>
      </c>
      <c r="F31" s="43">
        <v>150000</v>
      </c>
      <c r="G31" s="43">
        <v>140000</v>
      </c>
      <c r="H31" s="43">
        <v>150000</v>
      </c>
      <c r="I31" s="43">
        <v>160000</v>
      </c>
      <c r="J31" s="43">
        <v>130000</v>
      </c>
      <c r="K31" s="43">
        <v>125000</v>
      </c>
      <c r="L31" s="43">
        <v>74</v>
      </c>
      <c r="M31" s="43">
        <v>70</v>
      </c>
      <c r="N31" s="43">
        <v>74</v>
      </c>
      <c r="O31" s="43">
        <v>25</v>
      </c>
      <c r="P31" s="43">
        <v>20</v>
      </c>
      <c r="Q31" s="43">
        <v>25</v>
      </c>
      <c r="R31" s="43">
        <v>22</v>
      </c>
      <c r="S31" s="43">
        <v>23</v>
      </c>
      <c r="T31" s="43">
        <v>26</v>
      </c>
      <c r="U31" s="43">
        <v>17</v>
      </c>
      <c r="V31" s="43">
        <v>24</v>
      </c>
      <c r="W31" s="43">
        <v>22</v>
      </c>
      <c r="X31" s="43">
        <v>7800</v>
      </c>
      <c r="Y31" s="43">
        <v>10000</v>
      </c>
      <c r="Z31" s="43">
        <v>9000</v>
      </c>
      <c r="AA31" s="43">
        <v>354.55</v>
      </c>
      <c r="AB31" s="43">
        <v>434.78</v>
      </c>
      <c r="AC31" s="43">
        <v>346.15</v>
      </c>
      <c r="AD31" s="43">
        <v>350</v>
      </c>
      <c r="AE31" s="43">
        <v>350</v>
      </c>
      <c r="AF31" s="43">
        <v>350</v>
      </c>
      <c r="AG31" s="43">
        <v>402</v>
      </c>
      <c r="AH31" s="43">
        <v>290</v>
      </c>
      <c r="AI31" s="43">
        <v>380</v>
      </c>
      <c r="AJ31" s="43">
        <v>2432.4299999999998</v>
      </c>
      <c r="AK31" s="43">
        <v>2285.71</v>
      </c>
      <c r="AL31" s="43">
        <v>2500</v>
      </c>
      <c r="AM31" s="43">
        <v>2100</v>
      </c>
      <c r="AN31" s="43">
        <v>2200</v>
      </c>
      <c r="AO31" s="43">
        <v>2300</v>
      </c>
      <c r="AP31" s="43">
        <v>2500</v>
      </c>
      <c r="AQ31" s="43">
        <v>2600</v>
      </c>
      <c r="AR31" s="43">
        <v>2400</v>
      </c>
    </row>
    <row r="32" spans="1:44" ht="14.25" customHeight="1">
      <c r="A32" s="43"/>
      <c r="B32" s="43" t="s">
        <v>27</v>
      </c>
      <c r="C32" s="43">
        <v>175000</v>
      </c>
      <c r="D32" s="43">
        <v>135000</v>
      </c>
      <c r="E32" s="43">
        <v>145000</v>
      </c>
      <c r="F32" s="43">
        <v>150000</v>
      </c>
      <c r="G32" s="43">
        <v>140000</v>
      </c>
      <c r="H32" s="43">
        <v>150000</v>
      </c>
      <c r="I32" s="43">
        <v>170000</v>
      </c>
      <c r="J32" s="43">
        <v>145000</v>
      </c>
      <c r="K32" s="43">
        <v>130000</v>
      </c>
      <c r="L32" s="43">
        <v>70</v>
      </c>
      <c r="M32" s="43">
        <v>55</v>
      </c>
      <c r="N32" s="43">
        <v>61</v>
      </c>
      <c r="O32" s="43">
        <v>25</v>
      </c>
      <c r="P32" s="43">
        <v>20</v>
      </c>
      <c r="Q32" s="43">
        <v>25</v>
      </c>
      <c r="R32" s="43">
        <v>35</v>
      </c>
      <c r="S32" s="43">
        <v>20</v>
      </c>
      <c r="T32" s="43">
        <v>17</v>
      </c>
      <c r="U32" s="43">
        <v>36</v>
      </c>
      <c r="V32" s="43">
        <v>25</v>
      </c>
      <c r="W32" s="43">
        <v>21</v>
      </c>
      <c r="X32" s="43">
        <v>13200</v>
      </c>
      <c r="Y32" s="43">
        <v>9500</v>
      </c>
      <c r="Z32" s="43">
        <v>8300</v>
      </c>
      <c r="AA32" s="43">
        <v>377.14</v>
      </c>
      <c r="AB32" s="43">
        <v>475</v>
      </c>
      <c r="AC32" s="43">
        <v>488.24</v>
      </c>
      <c r="AD32" s="43">
        <v>350</v>
      </c>
      <c r="AE32" s="43">
        <v>350</v>
      </c>
      <c r="AF32" s="43">
        <v>350</v>
      </c>
      <c r="AG32" s="43">
        <v>350</v>
      </c>
      <c r="AH32" s="43">
        <v>385</v>
      </c>
      <c r="AI32" s="43">
        <v>352</v>
      </c>
      <c r="AJ32" s="43">
        <v>2428.5700000000002</v>
      </c>
      <c r="AK32" s="43">
        <v>2454.5500000000002</v>
      </c>
      <c r="AL32" s="43">
        <v>2377.0500000000002</v>
      </c>
      <c r="AM32" s="43">
        <v>2500</v>
      </c>
      <c r="AN32" s="43">
        <v>2500</v>
      </c>
      <c r="AO32" s="43">
        <v>2300</v>
      </c>
      <c r="AP32" s="43">
        <v>2500</v>
      </c>
      <c r="AQ32" s="43">
        <v>2600</v>
      </c>
      <c r="AR32" s="43">
        <v>2400</v>
      </c>
    </row>
    <row r="33" spans="1:44" ht="14.25" customHeight="1">
      <c r="A33" s="43"/>
      <c r="B33" s="43" t="s">
        <v>28</v>
      </c>
      <c r="C33" s="43">
        <v>156000</v>
      </c>
      <c r="D33" s="43">
        <v>175000</v>
      </c>
      <c r="E33" s="43">
        <v>155000</v>
      </c>
      <c r="F33" s="43">
        <v>150000</v>
      </c>
      <c r="G33" s="43">
        <v>140000</v>
      </c>
      <c r="H33" s="43">
        <v>150000</v>
      </c>
      <c r="I33" s="43">
        <v>165000</v>
      </c>
      <c r="J33" s="43">
        <v>155000</v>
      </c>
      <c r="K33" s="43">
        <v>140000</v>
      </c>
      <c r="L33" s="43">
        <v>66</v>
      </c>
      <c r="M33" s="43">
        <v>68</v>
      </c>
      <c r="N33" s="43">
        <v>63</v>
      </c>
      <c r="O33" s="43">
        <v>25</v>
      </c>
      <c r="P33" s="43">
        <v>20</v>
      </c>
      <c r="Q33" s="43">
        <v>25</v>
      </c>
      <c r="R33" s="43">
        <v>18</v>
      </c>
      <c r="S33" s="43">
        <v>14</v>
      </c>
      <c r="T33" s="43">
        <v>24</v>
      </c>
      <c r="U33" s="43">
        <v>14</v>
      </c>
      <c r="V33" s="43">
        <v>25</v>
      </c>
      <c r="W33" s="43">
        <v>22</v>
      </c>
      <c r="X33" s="43">
        <v>6500</v>
      </c>
      <c r="Y33" s="43">
        <v>9000</v>
      </c>
      <c r="Z33" s="43">
        <v>8500</v>
      </c>
      <c r="AA33" s="43">
        <v>361.11</v>
      </c>
      <c r="AB33" s="43">
        <v>642.86</v>
      </c>
      <c r="AC33" s="43">
        <v>354.17</v>
      </c>
      <c r="AD33" s="43">
        <v>350</v>
      </c>
      <c r="AE33" s="43">
        <v>350</v>
      </c>
      <c r="AF33" s="43">
        <v>350</v>
      </c>
      <c r="AG33" s="43">
        <v>350</v>
      </c>
      <c r="AH33" s="43">
        <v>360</v>
      </c>
      <c r="AI33" s="43">
        <v>388</v>
      </c>
      <c r="AJ33" s="43">
        <v>2272.73</v>
      </c>
      <c r="AK33" s="43">
        <v>2573.5300000000002</v>
      </c>
      <c r="AL33" s="43">
        <v>2460.3200000000002</v>
      </c>
      <c r="AM33" s="43">
        <v>2200</v>
      </c>
      <c r="AN33" s="43">
        <v>2600</v>
      </c>
      <c r="AO33" s="43">
        <v>2400</v>
      </c>
      <c r="AP33" s="43">
        <v>2500</v>
      </c>
      <c r="AQ33" s="43">
        <v>2600</v>
      </c>
      <c r="AR33" s="43">
        <v>2400</v>
      </c>
    </row>
    <row r="34" spans="1:44" ht="14.25" customHeight="1">
      <c r="A34" s="43"/>
      <c r="B34" s="43" t="s">
        <v>29</v>
      </c>
      <c r="C34" s="43">
        <v>135500</v>
      </c>
      <c r="D34" s="43">
        <v>190000</v>
      </c>
      <c r="E34" s="43">
        <v>140000</v>
      </c>
      <c r="F34" s="43">
        <v>150000</v>
      </c>
      <c r="G34" s="43">
        <v>140000</v>
      </c>
      <c r="H34" s="43">
        <v>150000</v>
      </c>
      <c r="I34" s="43">
        <v>155000</v>
      </c>
      <c r="J34" s="43">
        <v>120000</v>
      </c>
      <c r="K34" s="43">
        <v>150000</v>
      </c>
      <c r="L34" s="43">
        <v>71</v>
      </c>
      <c r="M34" s="43">
        <v>62</v>
      </c>
      <c r="N34" s="43">
        <v>51</v>
      </c>
      <c r="O34" s="43">
        <v>25</v>
      </c>
      <c r="P34" s="43">
        <v>20</v>
      </c>
      <c r="Q34" s="43">
        <v>25</v>
      </c>
      <c r="R34" s="43">
        <v>33</v>
      </c>
      <c r="S34" s="43">
        <v>20</v>
      </c>
      <c r="T34" s="43">
        <v>16</v>
      </c>
      <c r="U34" s="43">
        <v>20</v>
      </c>
      <c r="V34" s="43">
        <v>25</v>
      </c>
      <c r="W34" s="43">
        <v>24</v>
      </c>
      <c r="X34" s="43">
        <v>12100</v>
      </c>
      <c r="Y34" s="43">
        <v>10800</v>
      </c>
      <c r="Z34" s="43">
        <v>10500</v>
      </c>
      <c r="AA34" s="43">
        <v>366.67</v>
      </c>
      <c r="AB34" s="43">
        <v>540</v>
      </c>
      <c r="AC34" s="43">
        <v>656.25</v>
      </c>
      <c r="AD34" s="43">
        <v>350</v>
      </c>
      <c r="AE34" s="43">
        <v>350</v>
      </c>
      <c r="AF34" s="43">
        <v>350</v>
      </c>
      <c r="AG34" s="43">
        <v>385</v>
      </c>
      <c r="AH34" s="43">
        <v>350</v>
      </c>
      <c r="AI34" s="43">
        <v>406</v>
      </c>
      <c r="AJ34" s="43">
        <v>1901.41</v>
      </c>
      <c r="AK34" s="43">
        <v>3064.52</v>
      </c>
      <c r="AL34" s="43">
        <v>2745.1</v>
      </c>
      <c r="AM34" s="43">
        <v>2100</v>
      </c>
      <c r="AN34" s="43">
        <v>2800</v>
      </c>
      <c r="AO34" s="43">
        <v>2700</v>
      </c>
      <c r="AP34" s="43">
        <v>2500</v>
      </c>
      <c r="AQ34" s="43">
        <v>2600</v>
      </c>
      <c r="AR34" s="43">
        <v>2400</v>
      </c>
    </row>
    <row r="35" spans="1:44" ht="14.25" customHeight="1">
      <c r="A35" s="44"/>
      <c r="B35" s="44" t="s">
        <v>30</v>
      </c>
      <c r="C35" s="44">
        <f t="shared" ref="C35:Z35" si="29">SUM(C30:C34)</f>
        <v>771500</v>
      </c>
      <c r="D35" s="44">
        <f t="shared" si="29"/>
        <v>790000</v>
      </c>
      <c r="E35" s="44">
        <f t="shared" si="29"/>
        <v>785000</v>
      </c>
      <c r="F35" s="44">
        <f t="shared" si="29"/>
        <v>750000</v>
      </c>
      <c r="G35" s="44">
        <f t="shared" si="29"/>
        <v>700000</v>
      </c>
      <c r="H35" s="44">
        <f t="shared" si="29"/>
        <v>750000</v>
      </c>
      <c r="I35" s="44">
        <f t="shared" si="29"/>
        <v>765000</v>
      </c>
      <c r="J35" s="44">
        <f t="shared" si="29"/>
        <v>690000</v>
      </c>
      <c r="K35" s="44">
        <f t="shared" si="29"/>
        <v>705000</v>
      </c>
      <c r="L35" s="44">
        <f t="shared" si="29"/>
        <v>338</v>
      </c>
      <c r="M35" s="44">
        <f t="shared" si="29"/>
        <v>313</v>
      </c>
      <c r="N35" s="44">
        <f t="shared" si="29"/>
        <v>312</v>
      </c>
      <c r="O35" s="44">
        <f t="shared" si="29"/>
        <v>125</v>
      </c>
      <c r="P35" s="44">
        <f t="shared" si="29"/>
        <v>100</v>
      </c>
      <c r="Q35" s="44">
        <f t="shared" si="29"/>
        <v>125</v>
      </c>
      <c r="R35" s="44">
        <f t="shared" si="29"/>
        <v>118</v>
      </c>
      <c r="S35" s="44">
        <f t="shared" si="29"/>
        <v>88</v>
      </c>
      <c r="T35" s="44">
        <f t="shared" si="29"/>
        <v>101</v>
      </c>
      <c r="U35" s="44">
        <f t="shared" si="29"/>
        <v>96</v>
      </c>
      <c r="V35" s="44">
        <f t="shared" si="29"/>
        <v>111</v>
      </c>
      <c r="W35" s="44">
        <f t="shared" si="29"/>
        <v>103</v>
      </c>
      <c r="X35" s="44">
        <f t="shared" si="29"/>
        <v>43800</v>
      </c>
      <c r="Y35" s="44">
        <f t="shared" si="29"/>
        <v>44300</v>
      </c>
      <c r="Z35" s="44">
        <f t="shared" si="29"/>
        <v>41800</v>
      </c>
      <c r="AA35" s="44">
        <f t="shared" ref="AA35:AR35" si="30">AVERAGE(AA30:AA34)</f>
        <v>375.89400000000006</v>
      </c>
      <c r="AB35" s="44">
        <f t="shared" si="30"/>
        <v>509.43799999999999</v>
      </c>
      <c r="AC35" s="44">
        <f t="shared" si="30"/>
        <v>430.07399999999996</v>
      </c>
      <c r="AD35" s="44">
        <f t="shared" si="30"/>
        <v>350</v>
      </c>
      <c r="AE35" s="44">
        <f t="shared" si="30"/>
        <v>350</v>
      </c>
      <c r="AF35" s="44">
        <f t="shared" si="30"/>
        <v>350</v>
      </c>
      <c r="AG35" s="44">
        <f t="shared" si="30"/>
        <v>377.4</v>
      </c>
      <c r="AH35" s="44">
        <f t="shared" si="30"/>
        <v>354</v>
      </c>
      <c r="AI35" s="44">
        <f t="shared" si="30"/>
        <v>383.2</v>
      </c>
      <c r="AJ35" s="44">
        <f t="shared" si="30"/>
        <v>2245.6239999999998</v>
      </c>
      <c r="AK35" s="44">
        <f t="shared" si="30"/>
        <v>2523.9380000000001</v>
      </c>
      <c r="AL35" s="44">
        <f t="shared" si="30"/>
        <v>2524.4300000000003</v>
      </c>
      <c r="AM35" s="44">
        <f t="shared" si="30"/>
        <v>2220</v>
      </c>
      <c r="AN35" s="44">
        <f t="shared" si="30"/>
        <v>2440</v>
      </c>
      <c r="AO35" s="44">
        <f t="shared" si="30"/>
        <v>2420</v>
      </c>
      <c r="AP35" s="44">
        <f t="shared" si="30"/>
        <v>2500</v>
      </c>
      <c r="AQ35" s="44">
        <f t="shared" si="30"/>
        <v>2600</v>
      </c>
      <c r="AR35" s="44">
        <f t="shared" si="30"/>
        <v>2400</v>
      </c>
    </row>
    <row r="36" spans="1:44" ht="14.25" customHeight="1">
      <c r="A36" s="1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</row>
    <row r="37" spans="1:44" ht="14.25" customHeight="1">
      <c r="A37" s="36"/>
      <c r="B37" s="37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7"/>
    </row>
    <row r="38" spans="1:44" ht="14.25" customHeight="1">
      <c r="A38" s="36"/>
      <c r="B38" s="37"/>
      <c r="C38" s="58" t="s">
        <v>39</v>
      </c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60"/>
    </row>
    <row r="39" spans="1:44" ht="14.25" customHeight="1">
      <c r="A39" s="36"/>
      <c r="B39" s="37"/>
      <c r="C39" s="39" t="s">
        <v>40</v>
      </c>
      <c r="D39" s="39" t="s">
        <v>41</v>
      </c>
      <c r="E39" s="40" t="s">
        <v>42</v>
      </c>
      <c r="F39" s="39" t="s">
        <v>40</v>
      </c>
      <c r="G39" s="39" t="s">
        <v>41</v>
      </c>
      <c r="H39" s="40" t="s">
        <v>42</v>
      </c>
      <c r="I39" s="39" t="s">
        <v>40</v>
      </c>
      <c r="J39" s="39" t="s">
        <v>41</v>
      </c>
      <c r="K39" s="40" t="s">
        <v>42</v>
      </c>
      <c r="L39" s="39" t="s">
        <v>40</v>
      </c>
      <c r="M39" s="39" t="s">
        <v>41</v>
      </c>
      <c r="N39" s="40" t="s">
        <v>42</v>
      </c>
      <c r="O39" s="39" t="s">
        <v>40</v>
      </c>
      <c r="P39" s="39" t="s">
        <v>41</v>
      </c>
      <c r="Q39" s="40" t="s">
        <v>42</v>
      </c>
      <c r="R39" s="39" t="s">
        <v>40</v>
      </c>
      <c r="S39" s="39" t="s">
        <v>41</v>
      </c>
      <c r="T39" s="40" t="s">
        <v>42</v>
      </c>
      <c r="U39" s="39" t="s">
        <v>40</v>
      </c>
      <c r="V39" s="39" t="s">
        <v>41</v>
      </c>
      <c r="W39" s="40" t="s">
        <v>42</v>
      </c>
      <c r="X39" s="39" t="s">
        <v>40</v>
      </c>
      <c r="Y39" s="39" t="s">
        <v>41</v>
      </c>
      <c r="Z39" s="40" t="s">
        <v>42</v>
      </c>
      <c r="AA39" s="39" t="s">
        <v>40</v>
      </c>
      <c r="AB39" s="39" t="s">
        <v>41</v>
      </c>
      <c r="AC39" s="40" t="s">
        <v>42</v>
      </c>
      <c r="AD39" s="39" t="s">
        <v>40</v>
      </c>
      <c r="AE39" s="39" t="s">
        <v>41</v>
      </c>
      <c r="AF39" s="40" t="s">
        <v>42</v>
      </c>
      <c r="AG39" s="39" t="s">
        <v>40</v>
      </c>
      <c r="AH39" s="39" t="s">
        <v>41</v>
      </c>
      <c r="AI39" s="40" t="s">
        <v>42</v>
      </c>
      <c r="AJ39" s="39" t="s">
        <v>40</v>
      </c>
      <c r="AK39" s="39" t="s">
        <v>41</v>
      </c>
      <c r="AL39" s="40" t="s">
        <v>42</v>
      </c>
      <c r="AM39" s="39" t="s">
        <v>40</v>
      </c>
      <c r="AN39" s="39" t="s">
        <v>41</v>
      </c>
      <c r="AO39" s="40" t="s">
        <v>42</v>
      </c>
      <c r="AP39" s="39" t="s">
        <v>40</v>
      </c>
      <c r="AQ39" s="39" t="s">
        <v>41</v>
      </c>
      <c r="AR39" s="40" t="s">
        <v>42</v>
      </c>
    </row>
    <row r="40" spans="1:44" ht="14.25" customHeight="1">
      <c r="A40" s="36"/>
      <c r="B40" s="37"/>
      <c r="C40" s="41" t="s">
        <v>11</v>
      </c>
      <c r="D40" s="41" t="s">
        <v>11</v>
      </c>
      <c r="E40" s="42" t="s">
        <v>11</v>
      </c>
      <c r="F40" s="41" t="s">
        <v>12</v>
      </c>
      <c r="G40" s="41" t="s">
        <v>12</v>
      </c>
      <c r="H40" s="42" t="s">
        <v>12</v>
      </c>
      <c r="I40" s="41" t="s">
        <v>13</v>
      </c>
      <c r="J40" s="41" t="s">
        <v>13</v>
      </c>
      <c r="K40" s="42" t="s">
        <v>13</v>
      </c>
      <c r="L40" s="41" t="s">
        <v>14</v>
      </c>
      <c r="M40" s="41" t="s">
        <v>14</v>
      </c>
      <c r="N40" s="42" t="s">
        <v>14</v>
      </c>
      <c r="O40" s="41" t="s">
        <v>15</v>
      </c>
      <c r="P40" s="41" t="s">
        <v>15</v>
      </c>
      <c r="Q40" s="42" t="s">
        <v>15</v>
      </c>
      <c r="R40" s="41" t="s">
        <v>16</v>
      </c>
      <c r="S40" s="41" t="s">
        <v>16</v>
      </c>
      <c r="T40" s="42" t="s">
        <v>16</v>
      </c>
      <c r="U40" s="41" t="s">
        <v>17</v>
      </c>
      <c r="V40" s="41" t="s">
        <v>17</v>
      </c>
      <c r="W40" s="42" t="s">
        <v>17</v>
      </c>
      <c r="X40" s="41" t="s">
        <v>18</v>
      </c>
      <c r="Y40" s="41" t="s">
        <v>18</v>
      </c>
      <c r="Z40" s="42" t="s">
        <v>18</v>
      </c>
      <c r="AA40" s="41" t="s">
        <v>19</v>
      </c>
      <c r="AB40" s="41" t="s">
        <v>19</v>
      </c>
      <c r="AC40" s="42" t="s">
        <v>19</v>
      </c>
      <c r="AD40" s="41" t="s">
        <v>20</v>
      </c>
      <c r="AE40" s="41" t="s">
        <v>20</v>
      </c>
      <c r="AF40" s="42" t="s">
        <v>20</v>
      </c>
      <c r="AG40" s="41" t="s">
        <v>21</v>
      </c>
      <c r="AH40" s="41" t="s">
        <v>21</v>
      </c>
      <c r="AI40" s="42" t="s">
        <v>21</v>
      </c>
      <c r="AJ40" s="41" t="s">
        <v>22</v>
      </c>
      <c r="AK40" s="41" t="s">
        <v>22</v>
      </c>
      <c r="AL40" s="42" t="s">
        <v>22</v>
      </c>
      <c r="AM40" s="41" t="s">
        <v>23</v>
      </c>
      <c r="AN40" s="41" t="s">
        <v>23</v>
      </c>
      <c r="AO40" s="42" t="s">
        <v>23</v>
      </c>
      <c r="AP40" s="41" t="s">
        <v>24</v>
      </c>
      <c r="AQ40" s="41" t="s">
        <v>24</v>
      </c>
      <c r="AR40" s="42" t="s">
        <v>24</v>
      </c>
    </row>
    <row r="41" spans="1:44" ht="14.25" customHeight="1">
      <c r="A41" s="43"/>
      <c r="B41" s="43" t="s">
        <v>25</v>
      </c>
      <c r="C41" s="43">
        <v>130000</v>
      </c>
      <c r="D41" s="43">
        <v>135000</v>
      </c>
      <c r="E41" s="43">
        <v>150000</v>
      </c>
      <c r="F41" s="43">
        <v>150000</v>
      </c>
      <c r="G41" s="43">
        <v>160000</v>
      </c>
      <c r="H41" s="43">
        <v>140000</v>
      </c>
      <c r="I41" s="43">
        <v>125000</v>
      </c>
      <c r="J41" s="43">
        <v>160000</v>
      </c>
      <c r="K41" s="43">
        <v>135000</v>
      </c>
      <c r="L41" s="43">
        <v>58</v>
      </c>
      <c r="M41" s="43">
        <v>63</v>
      </c>
      <c r="N41" s="43">
        <v>55</v>
      </c>
      <c r="O41" s="43">
        <v>30</v>
      </c>
      <c r="P41" s="43">
        <v>30</v>
      </c>
      <c r="Q41" s="43">
        <v>25</v>
      </c>
      <c r="R41" s="43">
        <v>12</v>
      </c>
      <c r="S41" s="43">
        <v>25</v>
      </c>
      <c r="T41" s="43">
        <v>11</v>
      </c>
      <c r="U41" s="43">
        <v>11</v>
      </c>
      <c r="V41" s="43">
        <v>21</v>
      </c>
      <c r="W41" s="43">
        <v>14</v>
      </c>
      <c r="X41" s="43">
        <v>5000</v>
      </c>
      <c r="Y41" s="43">
        <v>4500</v>
      </c>
      <c r="Z41" s="43">
        <v>5000</v>
      </c>
      <c r="AA41" s="43">
        <v>416.67</v>
      </c>
      <c r="AB41" s="43">
        <v>180</v>
      </c>
      <c r="AC41" s="43">
        <v>454.55</v>
      </c>
      <c r="AD41" s="43">
        <v>400</v>
      </c>
      <c r="AE41" s="43">
        <v>350</v>
      </c>
      <c r="AF41" s="43">
        <v>350</v>
      </c>
      <c r="AG41" s="43">
        <v>400</v>
      </c>
      <c r="AH41" s="43">
        <v>385</v>
      </c>
      <c r="AI41" s="43">
        <v>390</v>
      </c>
      <c r="AJ41" s="43">
        <v>2068.9699999999998</v>
      </c>
      <c r="AK41" s="43">
        <v>2142.86</v>
      </c>
      <c r="AL41" s="43">
        <v>2727.27</v>
      </c>
      <c r="AM41" s="43">
        <v>2100</v>
      </c>
      <c r="AN41" s="43">
        <v>2000</v>
      </c>
      <c r="AO41" s="43">
        <v>2600</v>
      </c>
      <c r="AP41" s="43">
        <v>2700</v>
      </c>
      <c r="AQ41" s="43">
        <v>2500</v>
      </c>
      <c r="AR41" s="43">
        <v>2600</v>
      </c>
    </row>
    <row r="42" spans="1:44" ht="14.25" customHeight="1">
      <c r="A42" s="43"/>
      <c r="B42" s="43" t="s">
        <v>26</v>
      </c>
      <c r="C42" s="43">
        <v>175000</v>
      </c>
      <c r="D42" s="43">
        <v>155000</v>
      </c>
      <c r="E42" s="43">
        <v>190000</v>
      </c>
      <c r="F42" s="43">
        <v>150000</v>
      </c>
      <c r="G42" s="43">
        <v>160000</v>
      </c>
      <c r="H42" s="43">
        <v>140000</v>
      </c>
      <c r="I42" s="43">
        <v>145000</v>
      </c>
      <c r="J42" s="43">
        <v>125000</v>
      </c>
      <c r="K42" s="43">
        <v>125000</v>
      </c>
      <c r="L42" s="43">
        <v>70</v>
      </c>
      <c r="M42" s="43">
        <v>74</v>
      </c>
      <c r="N42" s="43">
        <v>65</v>
      </c>
      <c r="O42" s="43">
        <v>30</v>
      </c>
      <c r="P42" s="43">
        <v>30</v>
      </c>
      <c r="Q42" s="43">
        <v>25</v>
      </c>
      <c r="R42" s="43">
        <v>26</v>
      </c>
      <c r="S42" s="43">
        <v>18</v>
      </c>
      <c r="T42" s="43">
        <v>23</v>
      </c>
      <c r="U42" s="43">
        <v>17</v>
      </c>
      <c r="V42" s="43">
        <v>18</v>
      </c>
      <c r="W42" s="43">
        <v>15</v>
      </c>
      <c r="X42" s="43">
        <v>9800</v>
      </c>
      <c r="Y42" s="43">
        <v>9800</v>
      </c>
      <c r="Z42" s="43">
        <v>6500</v>
      </c>
      <c r="AA42" s="43">
        <v>376.92</v>
      </c>
      <c r="AB42" s="43">
        <v>544.44000000000005</v>
      </c>
      <c r="AC42" s="43">
        <v>282.61</v>
      </c>
      <c r="AD42" s="43">
        <v>400</v>
      </c>
      <c r="AE42" s="43">
        <v>350</v>
      </c>
      <c r="AF42" s="43">
        <v>350</v>
      </c>
      <c r="AG42" s="43">
        <v>402</v>
      </c>
      <c r="AH42" s="43">
        <v>290</v>
      </c>
      <c r="AI42" s="43">
        <v>380</v>
      </c>
      <c r="AJ42" s="43">
        <v>2500</v>
      </c>
      <c r="AK42" s="43">
        <v>2094.59</v>
      </c>
      <c r="AL42" s="43">
        <v>2923.08</v>
      </c>
      <c r="AM42" s="43">
        <v>2200</v>
      </c>
      <c r="AN42" s="43">
        <v>2000</v>
      </c>
      <c r="AO42" s="43">
        <v>2200</v>
      </c>
      <c r="AP42" s="43">
        <v>2700</v>
      </c>
      <c r="AQ42" s="43">
        <v>2500</v>
      </c>
      <c r="AR42" s="43">
        <v>2600</v>
      </c>
    </row>
    <row r="43" spans="1:44" ht="14.25" customHeight="1">
      <c r="A43" s="43"/>
      <c r="B43" s="43" t="s">
        <v>27</v>
      </c>
      <c r="C43" s="43">
        <v>180000</v>
      </c>
      <c r="D43" s="43">
        <v>145000</v>
      </c>
      <c r="E43" s="43">
        <v>155000</v>
      </c>
      <c r="F43" s="43">
        <v>150000</v>
      </c>
      <c r="G43" s="43">
        <v>160000</v>
      </c>
      <c r="H43" s="43">
        <v>140000</v>
      </c>
      <c r="I43" s="43">
        <v>155000</v>
      </c>
      <c r="J43" s="43">
        <v>130000</v>
      </c>
      <c r="K43" s="43">
        <v>125000</v>
      </c>
      <c r="L43" s="43">
        <v>55</v>
      </c>
      <c r="M43" s="43">
        <v>61</v>
      </c>
      <c r="N43" s="43">
        <v>44</v>
      </c>
      <c r="O43" s="43">
        <v>30</v>
      </c>
      <c r="P43" s="43">
        <v>30</v>
      </c>
      <c r="Q43" s="43">
        <v>25</v>
      </c>
      <c r="R43" s="43">
        <v>31</v>
      </c>
      <c r="S43" s="43">
        <v>25</v>
      </c>
      <c r="T43" s="43">
        <v>20</v>
      </c>
      <c r="U43" s="43">
        <v>25</v>
      </c>
      <c r="V43" s="43">
        <v>21</v>
      </c>
      <c r="W43" s="43">
        <v>22</v>
      </c>
      <c r="X43" s="43">
        <v>9500</v>
      </c>
      <c r="Y43" s="43">
        <v>10200</v>
      </c>
      <c r="Z43" s="43">
        <v>8000</v>
      </c>
      <c r="AA43" s="43">
        <v>306.45</v>
      </c>
      <c r="AB43" s="43">
        <v>408</v>
      </c>
      <c r="AC43" s="43">
        <v>400</v>
      </c>
      <c r="AD43" s="43">
        <v>400</v>
      </c>
      <c r="AE43" s="43">
        <v>350</v>
      </c>
      <c r="AF43" s="43">
        <v>350</v>
      </c>
      <c r="AG43" s="43">
        <v>350</v>
      </c>
      <c r="AH43" s="43">
        <v>385</v>
      </c>
      <c r="AI43" s="43">
        <v>352</v>
      </c>
      <c r="AJ43" s="43">
        <v>3272.73</v>
      </c>
      <c r="AK43" s="43">
        <v>2377.0500000000002</v>
      </c>
      <c r="AL43" s="43">
        <v>3522.73</v>
      </c>
      <c r="AM43" s="43">
        <v>3000</v>
      </c>
      <c r="AN43" s="43">
        <v>2200</v>
      </c>
      <c r="AO43" s="43">
        <v>2100</v>
      </c>
      <c r="AP43" s="43">
        <v>2700</v>
      </c>
      <c r="AQ43" s="43">
        <v>2500</v>
      </c>
      <c r="AR43" s="43">
        <v>2600</v>
      </c>
    </row>
    <row r="44" spans="1:44" ht="14.25" customHeight="1">
      <c r="A44" s="43"/>
      <c r="B44" s="43" t="s">
        <v>28</v>
      </c>
      <c r="C44" s="43">
        <v>160000</v>
      </c>
      <c r="D44" s="43">
        <v>180000</v>
      </c>
      <c r="E44" s="43">
        <v>175000</v>
      </c>
      <c r="F44" s="43">
        <v>150000</v>
      </c>
      <c r="G44" s="43">
        <v>160000</v>
      </c>
      <c r="H44" s="43">
        <v>140000</v>
      </c>
      <c r="I44" s="43">
        <v>145000</v>
      </c>
      <c r="J44" s="43">
        <v>140000</v>
      </c>
      <c r="K44" s="43">
        <v>160000</v>
      </c>
      <c r="L44" s="43">
        <v>68</v>
      </c>
      <c r="M44" s="43">
        <v>63</v>
      </c>
      <c r="N44" s="43">
        <v>50</v>
      </c>
      <c r="O44" s="43">
        <v>30</v>
      </c>
      <c r="P44" s="43">
        <v>30</v>
      </c>
      <c r="Q44" s="43">
        <v>25</v>
      </c>
      <c r="R44" s="43">
        <v>28</v>
      </c>
      <c r="S44" s="43">
        <v>15</v>
      </c>
      <c r="T44" s="43">
        <v>14</v>
      </c>
      <c r="U44" s="43">
        <v>17</v>
      </c>
      <c r="V44" s="43">
        <v>18</v>
      </c>
      <c r="W44" s="43">
        <v>21</v>
      </c>
      <c r="X44" s="43">
        <v>9000</v>
      </c>
      <c r="Y44" s="43">
        <v>5600</v>
      </c>
      <c r="Z44" s="43">
        <v>7000</v>
      </c>
      <c r="AA44" s="43">
        <v>321.43</v>
      </c>
      <c r="AB44" s="43">
        <v>373.33</v>
      </c>
      <c r="AC44" s="43">
        <v>500</v>
      </c>
      <c r="AD44" s="43">
        <v>400</v>
      </c>
      <c r="AE44" s="43">
        <v>350</v>
      </c>
      <c r="AF44" s="43">
        <v>350</v>
      </c>
      <c r="AG44" s="43">
        <v>350</v>
      </c>
      <c r="AH44" s="43">
        <v>360</v>
      </c>
      <c r="AI44" s="43">
        <v>388</v>
      </c>
      <c r="AJ44" s="43">
        <v>2352.94</v>
      </c>
      <c r="AK44" s="43">
        <v>2857.14</v>
      </c>
      <c r="AL44" s="43">
        <v>3500</v>
      </c>
      <c r="AM44" s="43">
        <v>2200</v>
      </c>
      <c r="AN44" s="43">
        <v>2450</v>
      </c>
      <c r="AO44" s="43">
        <v>3300</v>
      </c>
      <c r="AP44" s="43">
        <v>2700</v>
      </c>
      <c r="AQ44" s="43">
        <v>2500</v>
      </c>
      <c r="AR44" s="43">
        <v>2600</v>
      </c>
    </row>
    <row r="45" spans="1:44" ht="14.25" customHeight="1">
      <c r="A45" s="43"/>
      <c r="B45" s="43" t="s">
        <v>29</v>
      </c>
      <c r="C45" s="43">
        <v>205000</v>
      </c>
      <c r="D45" s="43">
        <v>195000</v>
      </c>
      <c r="E45" s="43">
        <v>125000</v>
      </c>
      <c r="F45" s="43">
        <v>150000</v>
      </c>
      <c r="G45" s="43">
        <v>160000</v>
      </c>
      <c r="H45" s="43">
        <v>140000</v>
      </c>
      <c r="I45" s="43">
        <v>125000</v>
      </c>
      <c r="J45" s="43">
        <v>150000</v>
      </c>
      <c r="K45" s="43">
        <v>145000</v>
      </c>
      <c r="L45" s="43">
        <v>62</v>
      </c>
      <c r="M45" s="43">
        <v>51</v>
      </c>
      <c r="N45" s="43">
        <v>35</v>
      </c>
      <c r="O45" s="43">
        <v>30</v>
      </c>
      <c r="P45" s="43">
        <v>30</v>
      </c>
      <c r="Q45" s="43">
        <v>25</v>
      </c>
      <c r="R45" s="43">
        <v>25</v>
      </c>
      <c r="S45" s="43">
        <v>18</v>
      </c>
      <c r="T45" s="43">
        <v>20</v>
      </c>
      <c r="U45" s="43">
        <v>20</v>
      </c>
      <c r="V45" s="43">
        <v>13</v>
      </c>
      <c r="W45" s="43">
        <v>20</v>
      </c>
      <c r="X45" s="43">
        <v>10800</v>
      </c>
      <c r="Y45" s="43">
        <v>9500</v>
      </c>
      <c r="Z45" s="43">
        <v>9000</v>
      </c>
      <c r="AA45" s="43">
        <v>432</v>
      </c>
      <c r="AB45" s="43">
        <v>527.78</v>
      </c>
      <c r="AC45" s="43">
        <v>450</v>
      </c>
      <c r="AD45" s="43">
        <v>400</v>
      </c>
      <c r="AE45" s="43">
        <v>350</v>
      </c>
      <c r="AF45" s="43">
        <v>350</v>
      </c>
      <c r="AG45" s="43">
        <v>385</v>
      </c>
      <c r="AH45" s="43">
        <v>350</v>
      </c>
      <c r="AI45" s="43">
        <v>406</v>
      </c>
      <c r="AJ45" s="43">
        <v>3306.45</v>
      </c>
      <c r="AK45" s="43">
        <v>3823.53</v>
      </c>
      <c r="AL45" s="43">
        <v>3571.43</v>
      </c>
      <c r="AM45" s="43">
        <v>2900</v>
      </c>
      <c r="AN45" s="43">
        <v>3100</v>
      </c>
      <c r="AO45" s="43">
        <v>3100</v>
      </c>
      <c r="AP45" s="43">
        <v>2700</v>
      </c>
      <c r="AQ45" s="43">
        <v>2500</v>
      </c>
      <c r="AR45" s="43">
        <v>2600</v>
      </c>
    </row>
    <row r="46" spans="1:44" ht="14.25" customHeight="1">
      <c r="A46" s="44"/>
      <c r="B46" s="44" t="s">
        <v>30</v>
      </c>
      <c r="C46" s="44">
        <f t="shared" ref="C46:Z46" si="31">SUM(C41:C45)</f>
        <v>850000</v>
      </c>
      <c r="D46" s="44">
        <f t="shared" si="31"/>
        <v>810000</v>
      </c>
      <c r="E46" s="44">
        <f t="shared" si="31"/>
        <v>795000</v>
      </c>
      <c r="F46" s="44">
        <f t="shared" si="31"/>
        <v>750000</v>
      </c>
      <c r="G46" s="44">
        <f t="shared" si="31"/>
        <v>800000</v>
      </c>
      <c r="H46" s="44">
        <f t="shared" si="31"/>
        <v>700000</v>
      </c>
      <c r="I46" s="44">
        <f t="shared" si="31"/>
        <v>695000</v>
      </c>
      <c r="J46" s="44">
        <f t="shared" si="31"/>
        <v>705000</v>
      </c>
      <c r="K46" s="44">
        <f t="shared" si="31"/>
        <v>690000</v>
      </c>
      <c r="L46" s="44">
        <f t="shared" si="31"/>
        <v>313</v>
      </c>
      <c r="M46" s="44">
        <f t="shared" si="31"/>
        <v>312</v>
      </c>
      <c r="N46" s="44">
        <f t="shared" si="31"/>
        <v>249</v>
      </c>
      <c r="O46" s="44">
        <f t="shared" si="31"/>
        <v>150</v>
      </c>
      <c r="P46" s="44">
        <f t="shared" si="31"/>
        <v>150</v>
      </c>
      <c r="Q46" s="44">
        <f t="shared" si="31"/>
        <v>125</v>
      </c>
      <c r="R46" s="44">
        <f t="shared" si="31"/>
        <v>122</v>
      </c>
      <c r="S46" s="44">
        <f t="shared" si="31"/>
        <v>101</v>
      </c>
      <c r="T46" s="44">
        <f t="shared" si="31"/>
        <v>88</v>
      </c>
      <c r="U46" s="44">
        <f t="shared" si="31"/>
        <v>90</v>
      </c>
      <c r="V46" s="44">
        <f t="shared" si="31"/>
        <v>91</v>
      </c>
      <c r="W46" s="44">
        <f t="shared" si="31"/>
        <v>92</v>
      </c>
      <c r="X46" s="44">
        <f t="shared" si="31"/>
        <v>44100</v>
      </c>
      <c r="Y46" s="44">
        <f t="shared" si="31"/>
        <v>39600</v>
      </c>
      <c r="Z46" s="44">
        <f t="shared" si="31"/>
        <v>35500</v>
      </c>
      <c r="AA46" s="44">
        <f t="shared" ref="AA46:AR46" si="32">AVERAGE(AA41:AA45)</f>
        <v>370.69400000000002</v>
      </c>
      <c r="AB46" s="44">
        <f t="shared" si="32"/>
        <v>406.71</v>
      </c>
      <c r="AC46" s="44">
        <f t="shared" si="32"/>
        <v>417.43199999999996</v>
      </c>
      <c r="AD46" s="44">
        <f t="shared" si="32"/>
        <v>400</v>
      </c>
      <c r="AE46" s="44">
        <f t="shared" si="32"/>
        <v>350</v>
      </c>
      <c r="AF46" s="44">
        <f t="shared" si="32"/>
        <v>350</v>
      </c>
      <c r="AG46" s="44">
        <f t="shared" si="32"/>
        <v>377.4</v>
      </c>
      <c r="AH46" s="44">
        <f t="shared" si="32"/>
        <v>354</v>
      </c>
      <c r="AI46" s="44">
        <f t="shared" si="32"/>
        <v>383.2</v>
      </c>
      <c r="AJ46" s="44">
        <f t="shared" si="32"/>
        <v>2700.2179999999998</v>
      </c>
      <c r="AK46" s="44">
        <f t="shared" si="32"/>
        <v>2659.0340000000006</v>
      </c>
      <c r="AL46" s="44">
        <f t="shared" si="32"/>
        <v>3248.902</v>
      </c>
      <c r="AM46" s="44">
        <f t="shared" si="32"/>
        <v>2480</v>
      </c>
      <c r="AN46" s="44">
        <f t="shared" si="32"/>
        <v>2350</v>
      </c>
      <c r="AO46" s="44">
        <f t="shared" si="32"/>
        <v>2660</v>
      </c>
      <c r="AP46" s="44">
        <f t="shared" si="32"/>
        <v>2700</v>
      </c>
      <c r="AQ46" s="44">
        <f t="shared" si="32"/>
        <v>2500</v>
      </c>
      <c r="AR46" s="44">
        <f t="shared" si="32"/>
        <v>2600</v>
      </c>
    </row>
    <row r="47" spans="1:44" ht="14.25" customHeight="1">
      <c r="A47" s="1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</row>
    <row r="48" spans="1:44" ht="14.25" customHeight="1">
      <c r="A48" s="36"/>
      <c r="B48" s="37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7"/>
    </row>
    <row r="49" spans="1:44" ht="14.25" customHeight="1">
      <c r="A49" s="36"/>
      <c r="B49" s="37"/>
      <c r="C49" s="58" t="s">
        <v>43</v>
      </c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59"/>
      <c r="AH49" s="59"/>
      <c r="AI49" s="59"/>
      <c r="AJ49" s="59"/>
      <c r="AK49" s="59"/>
      <c r="AL49" s="59"/>
      <c r="AM49" s="59"/>
      <c r="AN49" s="59"/>
      <c r="AO49" s="59"/>
      <c r="AP49" s="59"/>
      <c r="AQ49" s="59"/>
      <c r="AR49" s="60"/>
    </row>
    <row r="50" spans="1:44" ht="14.25" customHeight="1">
      <c r="A50" s="36"/>
      <c r="B50" s="37"/>
      <c r="C50" s="39" t="s">
        <v>44</v>
      </c>
      <c r="D50" s="39" t="s">
        <v>45</v>
      </c>
      <c r="E50" s="40" t="s">
        <v>46</v>
      </c>
      <c r="F50" s="39" t="s">
        <v>44</v>
      </c>
      <c r="G50" s="39" t="s">
        <v>45</v>
      </c>
      <c r="H50" s="40" t="s">
        <v>46</v>
      </c>
      <c r="I50" s="39" t="s">
        <v>44</v>
      </c>
      <c r="J50" s="39" t="s">
        <v>45</v>
      </c>
      <c r="K50" s="40" t="s">
        <v>46</v>
      </c>
      <c r="L50" s="39" t="s">
        <v>44</v>
      </c>
      <c r="M50" s="39" t="s">
        <v>45</v>
      </c>
      <c r="N50" s="40" t="s">
        <v>46</v>
      </c>
      <c r="O50" s="39" t="s">
        <v>44</v>
      </c>
      <c r="P50" s="39" t="s">
        <v>45</v>
      </c>
      <c r="Q50" s="40" t="s">
        <v>46</v>
      </c>
      <c r="R50" s="39" t="s">
        <v>44</v>
      </c>
      <c r="S50" s="39" t="s">
        <v>45</v>
      </c>
      <c r="T50" s="40" t="s">
        <v>46</v>
      </c>
      <c r="U50" s="39" t="s">
        <v>44</v>
      </c>
      <c r="V50" s="39" t="s">
        <v>45</v>
      </c>
      <c r="W50" s="40" t="s">
        <v>46</v>
      </c>
      <c r="X50" s="39" t="s">
        <v>44</v>
      </c>
      <c r="Y50" s="39" t="s">
        <v>45</v>
      </c>
      <c r="Z50" s="40" t="s">
        <v>46</v>
      </c>
      <c r="AA50" s="39" t="s">
        <v>44</v>
      </c>
      <c r="AB50" s="39" t="s">
        <v>45</v>
      </c>
      <c r="AC50" s="40" t="s">
        <v>46</v>
      </c>
      <c r="AD50" s="39" t="s">
        <v>44</v>
      </c>
      <c r="AE50" s="39" t="s">
        <v>45</v>
      </c>
      <c r="AF50" s="40" t="s">
        <v>46</v>
      </c>
      <c r="AG50" s="39" t="s">
        <v>44</v>
      </c>
      <c r="AH50" s="39" t="s">
        <v>45</v>
      </c>
      <c r="AI50" s="40" t="s">
        <v>46</v>
      </c>
      <c r="AJ50" s="39" t="s">
        <v>44</v>
      </c>
      <c r="AK50" s="39" t="s">
        <v>45</v>
      </c>
      <c r="AL50" s="40" t="s">
        <v>46</v>
      </c>
      <c r="AM50" s="39" t="s">
        <v>44</v>
      </c>
      <c r="AN50" s="39" t="s">
        <v>45</v>
      </c>
      <c r="AO50" s="40" t="s">
        <v>46</v>
      </c>
      <c r="AP50" s="39" t="s">
        <v>44</v>
      </c>
      <c r="AQ50" s="39" t="s">
        <v>45</v>
      </c>
      <c r="AR50" s="40" t="s">
        <v>46</v>
      </c>
    </row>
    <row r="51" spans="1:44" ht="14.25" customHeight="1">
      <c r="A51" s="36"/>
      <c r="B51" s="37"/>
      <c r="C51" s="41" t="s">
        <v>11</v>
      </c>
      <c r="D51" s="41" t="s">
        <v>11</v>
      </c>
      <c r="E51" s="42" t="s">
        <v>11</v>
      </c>
      <c r="F51" s="41" t="s">
        <v>12</v>
      </c>
      <c r="G51" s="41" t="s">
        <v>12</v>
      </c>
      <c r="H51" s="42" t="s">
        <v>12</v>
      </c>
      <c r="I51" s="41" t="s">
        <v>13</v>
      </c>
      <c r="J51" s="41" t="s">
        <v>13</v>
      </c>
      <c r="K51" s="42" t="s">
        <v>13</v>
      </c>
      <c r="L51" s="41" t="s">
        <v>14</v>
      </c>
      <c r="M51" s="41" t="s">
        <v>14</v>
      </c>
      <c r="N51" s="42" t="s">
        <v>14</v>
      </c>
      <c r="O51" s="41" t="s">
        <v>15</v>
      </c>
      <c r="P51" s="41" t="s">
        <v>15</v>
      </c>
      <c r="Q51" s="42" t="s">
        <v>15</v>
      </c>
      <c r="R51" s="41" t="s">
        <v>16</v>
      </c>
      <c r="S51" s="41" t="s">
        <v>16</v>
      </c>
      <c r="T51" s="42" t="s">
        <v>16</v>
      </c>
      <c r="U51" s="41" t="s">
        <v>17</v>
      </c>
      <c r="V51" s="41" t="s">
        <v>17</v>
      </c>
      <c r="W51" s="42" t="s">
        <v>17</v>
      </c>
      <c r="X51" s="41" t="s">
        <v>18</v>
      </c>
      <c r="Y51" s="41" t="s">
        <v>18</v>
      </c>
      <c r="Z51" s="42" t="s">
        <v>18</v>
      </c>
      <c r="AA51" s="41" t="s">
        <v>19</v>
      </c>
      <c r="AB51" s="41" t="s">
        <v>19</v>
      </c>
      <c r="AC51" s="42" t="s">
        <v>19</v>
      </c>
      <c r="AD51" s="41" t="s">
        <v>20</v>
      </c>
      <c r="AE51" s="41" t="s">
        <v>20</v>
      </c>
      <c r="AF51" s="42" t="s">
        <v>20</v>
      </c>
      <c r="AG51" s="41" t="s">
        <v>21</v>
      </c>
      <c r="AH51" s="41" t="s">
        <v>21</v>
      </c>
      <c r="AI51" s="42" t="s">
        <v>21</v>
      </c>
      <c r="AJ51" s="41" t="s">
        <v>22</v>
      </c>
      <c r="AK51" s="41" t="s">
        <v>22</v>
      </c>
      <c r="AL51" s="42" t="s">
        <v>22</v>
      </c>
      <c r="AM51" s="41" t="s">
        <v>23</v>
      </c>
      <c r="AN51" s="41" t="s">
        <v>23</v>
      </c>
      <c r="AO51" s="42" t="s">
        <v>23</v>
      </c>
      <c r="AP51" s="41" t="s">
        <v>24</v>
      </c>
      <c r="AQ51" s="41" t="s">
        <v>24</v>
      </c>
      <c r="AR51" s="42" t="s">
        <v>24</v>
      </c>
    </row>
    <row r="52" spans="1:44" ht="14.25" customHeight="1">
      <c r="A52" s="43"/>
      <c r="B52" s="43" t="s">
        <v>25</v>
      </c>
      <c r="C52" s="43">
        <v>150000</v>
      </c>
      <c r="D52" s="43">
        <v>145000</v>
      </c>
      <c r="E52" s="43">
        <v>145000</v>
      </c>
      <c r="F52" s="43">
        <v>160000</v>
      </c>
      <c r="G52" s="43">
        <v>145000</v>
      </c>
      <c r="H52" s="43">
        <v>160000</v>
      </c>
      <c r="I52" s="43">
        <v>160000</v>
      </c>
      <c r="J52" s="43">
        <v>125000</v>
      </c>
      <c r="K52" s="43">
        <v>145000</v>
      </c>
      <c r="L52" s="43">
        <v>55</v>
      </c>
      <c r="M52" s="43">
        <v>55</v>
      </c>
      <c r="N52" s="43">
        <v>60</v>
      </c>
      <c r="O52" s="43">
        <v>20</v>
      </c>
      <c r="P52" s="43">
        <v>25</v>
      </c>
      <c r="Q52" s="43">
        <v>35</v>
      </c>
      <c r="R52" s="43">
        <v>14</v>
      </c>
      <c r="S52" s="43">
        <v>18</v>
      </c>
      <c r="T52" s="43">
        <v>17</v>
      </c>
      <c r="U52" s="43">
        <v>21</v>
      </c>
      <c r="V52" s="43">
        <v>15</v>
      </c>
      <c r="W52" s="43">
        <v>11</v>
      </c>
      <c r="X52" s="43">
        <v>8000</v>
      </c>
      <c r="Y52" s="43">
        <v>6000</v>
      </c>
      <c r="Z52" s="43">
        <v>4000</v>
      </c>
      <c r="AA52" s="43">
        <v>571.42999999999995</v>
      </c>
      <c r="AB52" s="43">
        <v>333.33</v>
      </c>
      <c r="AC52" s="43">
        <v>235.29</v>
      </c>
      <c r="AD52" s="43">
        <v>350</v>
      </c>
      <c r="AE52" s="43">
        <v>450</v>
      </c>
      <c r="AF52" s="43">
        <v>350</v>
      </c>
      <c r="AG52" s="43">
        <v>400</v>
      </c>
      <c r="AH52" s="43">
        <v>385</v>
      </c>
      <c r="AI52" s="43">
        <v>390</v>
      </c>
      <c r="AJ52" s="43">
        <v>2909.09</v>
      </c>
      <c r="AK52" s="43">
        <v>2636.36</v>
      </c>
      <c r="AL52" s="43">
        <v>2416.67</v>
      </c>
      <c r="AM52" s="43">
        <v>2800</v>
      </c>
      <c r="AN52" s="43">
        <v>2500</v>
      </c>
      <c r="AO52" s="43">
        <v>2300</v>
      </c>
      <c r="AP52" s="43">
        <v>2200</v>
      </c>
      <c r="AQ52" s="43">
        <v>2300</v>
      </c>
      <c r="AR52" s="43">
        <v>2500</v>
      </c>
    </row>
    <row r="53" spans="1:44" ht="14.25" customHeight="1">
      <c r="A53" s="43"/>
      <c r="B53" s="43" t="s">
        <v>26</v>
      </c>
      <c r="C53" s="43">
        <v>185000</v>
      </c>
      <c r="D53" s="43">
        <v>150000</v>
      </c>
      <c r="E53" s="43">
        <v>185000</v>
      </c>
      <c r="F53" s="43">
        <v>160000</v>
      </c>
      <c r="G53" s="43">
        <v>145000</v>
      </c>
      <c r="H53" s="43">
        <v>160000</v>
      </c>
      <c r="I53" s="43">
        <v>125000</v>
      </c>
      <c r="J53" s="43">
        <v>130000</v>
      </c>
      <c r="K53" s="43">
        <v>120000</v>
      </c>
      <c r="L53" s="43">
        <v>56</v>
      </c>
      <c r="M53" s="43">
        <v>45</v>
      </c>
      <c r="N53" s="43">
        <v>65</v>
      </c>
      <c r="O53" s="43">
        <v>20</v>
      </c>
      <c r="P53" s="43">
        <v>25</v>
      </c>
      <c r="Q53" s="43">
        <v>35</v>
      </c>
      <c r="R53" s="43">
        <v>15</v>
      </c>
      <c r="S53" s="43">
        <v>25</v>
      </c>
      <c r="T53" s="43">
        <v>25</v>
      </c>
      <c r="U53" s="43">
        <v>14</v>
      </c>
      <c r="V53" s="43">
        <v>22</v>
      </c>
      <c r="W53" s="43">
        <v>12</v>
      </c>
      <c r="X53" s="43">
        <v>5500</v>
      </c>
      <c r="Y53" s="43">
        <v>8500</v>
      </c>
      <c r="Z53" s="43">
        <v>5000</v>
      </c>
      <c r="AA53" s="43">
        <v>366.67</v>
      </c>
      <c r="AB53" s="43">
        <v>340</v>
      </c>
      <c r="AC53" s="43">
        <v>200</v>
      </c>
      <c r="AD53" s="43">
        <v>350</v>
      </c>
      <c r="AE53" s="43">
        <v>450</v>
      </c>
      <c r="AF53" s="43">
        <v>350</v>
      </c>
      <c r="AG53" s="43">
        <v>380</v>
      </c>
      <c r="AH53" s="43">
        <v>400</v>
      </c>
      <c r="AI53" s="43">
        <v>388</v>
      </c>
      <c r="AJ53" s="43">
        <v>3303.57</v>
      </c>
      <c r="AK53" s="43">
        <v>3333.33</v>
      </c>
      <c r="AL53" s="43">
        <v>2846.15</v>
      </c>
      <c r="AM53" s="43">
        <v>2500</v>
      </c>
      <c r="AN53" s="43">
        <v>3000</v>
      </c>
      <c r="AO53" s="43">
        <v>2000</v>
      </c>
      <c r="AP53" s="43">
        <v>2200</v>
      </c>
      <c r="AQ53" s="43">
        <v>2300</v>
      </c>
      <c r="AR53" s="43">
        <v>2500</v>
      </c>
    </row>
    <row r="54" spans="1:44" ht="14.25" customHeight="1">
      <c r="A54" s="43"/>
      <c r="B54" s="43" t="s">
        <v>27</v>
      </c>
      <c r="C54" s="43">
        <v>150000</v>
      </c>
      <c r="D54" s="43">
        <v>125000</v>
      </c>
      <c r="E54" s="43">
        <v>120000</v>
      </c>
      <c r="F54" s="43">
        <v>160000</v>
      </c>
      <c r="G54" s="43">
        <v>145000</v>
      </c>
      <c r="H54" s="43">
        <v>160000</v>
      </c>
      <c r="I54" s="43">
        <v>130000</v>
      </c>
      <c r="J54" s="43">
        <v>150000</v>
      </c>
      <c r="K54" s="43">
        <v>125000</v>
      </c>
      <c r="L54" s="43">
        <v>56</v>
      </c>
      <c r="M54" s="43">
        <v>65</v>
      </c>
      <c r="N54" s="43">
        <v>50</v>
      </c>
      <c r="O54" s="43">
        <v>20</v>
      </c>
      <c r="P54" s="43">
        <v>25</v>
      </c>
      <c r="Q54" s="43">
        <v>35</v>
      </c>
      <c r="R54" s="43">
        <v>22</v>
      </c>
      <c r="S54" s="43">
        <v>17</v>
      </c>
      <c r="T54" s="43">
        <v>17</v>
      </c>
      <c r="U54" s="43">
        <v>25</v>
      </c>
      <c r="V54" s="43">
        <v>17</v>
      </c>
      <c r="W54" s="43">
        <v>21</v>
      </c>
      <c r="X54" s="43">
        <v>9000</v>
      </c>
      <c r="Y54" s="43">
        <v>6500</v>
      </c>
      <c r="Z54" s="43">
        <v>6500</v>
      </c>
      <c r="AA54" s="43">
        <v>409.09</v>
      </c>
      <c r="AB54" s="43">
        <v>382.35</v>
      </c>
      <c r="AC54" s="43">
        <v>382.35</v>
      </c>
      <c r="AD54" s="43">
        <v>350</v>
      </c>
      <c r="AE54" s="43">
        <v>450</v>
      </c>
      <c r="AF54" s="43">
        <v>350</v>
      </c>
      <c r="AG54" s="43">
        <v>365</v>
      </c>
      <c r="AH54" s="43">
        <v>350</v>
      </c>
      <c r="AI54" s="43">
        <v>352</v>
      </c>
      <c r="AJ54" s="43">
        <v>2678.57</v>
      </c>
      <c r="AK54" s="43">
        <v>1923.08</v>
      </c>
      <c r="AL54" s="43">
        <v>2400</v>
      </c>
      <c r="AM54" s="43">
        <v>2600</v>
      </c>
      <c r="AN54" s="43">
        <v>1800</v>
      </c>
      <c r="AO54" s="43">
        <v>2200</v>
      </c>
      <c r="AP54" s="43">
        <v>2200</v>
      </c>
      <c r="AQ54" s="43">
        <v>2300</v>
      </c>
      <c r="AR54" s="43">
        <v>2500</v>
      </c>
    </row>
    <row r="55" spans="1:44" ht="14.25" customHeight="1">
      <c r="A55" s="43"/>
      <c r="B55" s="43" t="s">
        <v>28</v>
      </c>
      <c r="C55" s="43">
        <v>155000</v>
      </c>
      <c r="D55" s="43">
        <v>155000</v>
      </c>
      <c r="E55" s="43">
        <v>155000</v>
      </c>
      <c r="F55" s="43">
        <v>160000</v>
      </c>
      <c r="G55" s="43">
        <v>145000</v>
      </c>
      <c r="H55" s="43">
        <v>160000</v>
      </c>
      <c r="I55" s="43">
        <v>150000</v>
      </c>
      <c r="J55" s="43">
        <v>155000</v>
      </c>
      <c r="K55" s="43">
        <v>160000</v>
      </c>
      <c r="L55" s="43">
        <v>62</v>
      </c>
      <c r="M55" s="43">
        <v>52</v>
      </c>
      <c r="N55" s="43">
        <v>52</v>
      </c>
      <c r="O55" s="43">
        <v>20</v>
      </c>
      <c r="P55" s="43">
        <v>25</v>
      </c>
      <c r="Q55" s="43">
        <v>35</v>
      </c>
      <c r="R55" s="43">
        <v>21</v>
      </c>
      <c r="S55" s="43">
        <v>24</v>
      </c>
      <c r="T55" s="43">
        <v>22</v>
      </c>
      <c r="U55" s="43">
        <v>17</v>
      </c>
      <c r="V55" s="43">
        <v>16</v>
      </c>
      <c r="W55" s="43">
        <v>23</v>
      </c>
      <c r="X55" s="43">
        <v>6200</v>
      </c>
      <c r="Y55" s="43">
        <v>6300</v>
      </c>
      <c r="Z55" s="43">
        <v>9000</v>
      </c>
      <c r="AA55" s="43">
        <v>295.24</v>
      </c>
      <c r="AB55" s="43">
        <v>262.5</v>
      </c>
      <c r="AC55" s="43">
        <v>409.09</v>
      </c>
      <c r="AD55" s="43">
        <v>350</v>
      </c>
      <c r="AE55" s="43">
        <v>450</v>
      </c>
      <c r="AF55" s="43">
        <v>350</v>
      </c>
      <c r="AG55" s="43">
        <v>405</v>
      </c>
      <c r="AH55" s="43">
        <v>370</v>
      </c>
      <c r="AI55" s="43">
        <v>350</v>
      </c>
      <c r="AJ55" s="43">
        <v>2500</v>
      </c>
      <c r="AK55" s="43">
        <v>2980.77</v>
      </c>
      <c r="AL55" s="43">
        <v>2980.77</v>
      </c>
      <c r="AM55" s="43">
        <v>2400</v>
      </c>
      <c r="AN55" s="43">
        <v>2800</v>
      </c>
      <c r="AO55" s="43">
        <v>2890</v>
      </c>
      <c r="AP55" s="43">
        <v>2200</v>
      </c>
      <c r="AQ55" s="43">
        <v>2300</v>
      </c>
      <c r="AR55" s="43">
        <v>2500</v>
      </c>
    </row>
    <row r="56" spans="1:44" ht="14.25" customHeight="1">
      <c r="A56" s="43"/>
      <c r="B56" s="43" t="s">
        <v>29</v>
      </c>
      <c r="C56" s="43">
        <v>140000</v>
      </c>
      <c r="D56" s="43">
        <v>170000</v>
      </c>
      <c r="E56" s="43">
        <v>155000</v>
      </c>
      <c r="F56" s="43">
        <v>160000</v>
      </c>
      <c r="G56" s="43">
        <v>145000</v>
      </c>
      <c r="H56" s="43">
        <v>160000</v>
      </c>
      <c r="I56" s="43">
        <v>150000</v>
      </c>
      <c r="J56" s="43">
        <v>180000</v>
      </c>
      <c r="K56" s="43">
        <v>140000</v>
      </c>
      <c r="L56" s="43">
        <v>65</v>
      </c>
      <c r="M56" s="43">
        <v>50</v>
      </c>
      <c r="N56" s="43">
        <v>70</v>
      </c>
      <c r="O56" s="43">
        <v>20</v>
      </c>
      <c r="P56" s="43">
        <v>25</v>
      </c>
      <c r="Q56" s="43">
        <v>35</v>
      </c>
      <c r="R56" s="43">
        <v>30</v>
      </c>
      <c r="S56" s="43">
        <v>16</v>
      </c>
      <c r="T56" s="43">
        <v>18</v>
      </c>
      <c r="U56" s="43">
        <v>25</v>
      </c>
      <c r="V56" s="43">
        <v>21</v>
      </c>
      <c r="W56" s="43">
        <v>20</v>
      </c>
      <c r="X56" s="43">
        <v>9800</v>
      </c>
      <c r="Y56" s="43">
        <v>8000</v>
      </c>
      <c r="Z56" s="43">
        <v>7500</v>
      </c>
      <c r="AA56" s="43">
        <v>326.67</v>
      </c>
      <c r="AB56" s="43">
        <v>500</v>
      </c>
      <c r="AC56" s="43">
        <v>416.67</v>
      </c>
      <c r="AD56" s="43">
        <v>350</v>
      </c>
      <c r="AE56" s="43">
        <v>450</v>
      </c>
      <c r="AF56" s="43">
        <v>350</v>
      </c>
      <c r="AG56" s="43">
        <v>385</v>
      </c>
      <c r="AH56" s="43">
        <v>350</v>
      </c>
      <c r="AI56" s="43">
        <v>410</v>
      </c>
      <c r="AJ56" s="43">
        <v>2153.85</v>
      </c>
      <c r="AK56" s="43">
        <v>3400</v>
      </c>
      <c r="AL56" s="43">
        <v>2214.29</v>
      </c>
      <c r="AM56" s="43">
        <v>1900</v>
      </c>
      <c r="AN56" s="43">
        <v>3000</v>
      </c>
      <c r="AO56" s="43">
        <v>2100</v>
      </c>
      <c r="AP56" s="43">
        <v>2200</v>
      </c>
      <c r="AQ56" s="43">
        <v>2300</v>
      </c>
      <c r="AR56" s="43">
        <v>2500</v>
      </c>
    </row>
    <row r="57" spans="1:44" ht="14.25" customHeight="1">
      <c r="A57" s="44"/>
      <c r="B57" s="44" t="s">
        <v>30</v>
      </c>
      <c r="C57" s="44">
        <f t="shared" ref="C57:Z57" si="33">SUM(C52:C56)</f>
        <v>780000</v>
      </c>
      <c r="D57" s="44">
        <f t="shared" si="33"/>
        <v>745000</v>
      </c>
      <c r="E57" s="44">
        <f t="shared" si="33"/>
        <v>760000</v>
      </c>
      <c r="F57" s="44">
        <f t="shared" si="33"/>
        <v>800000</v>
      </c>
      <c r="G57" s="44">
        <f t="shared" si="33"/>
        <v>725000</v>
      </c>
      <c r="H57" s="44">
        <f t="shared" si="33"/>
        <v>800000</v>
      </c>
      <c r="I57" s="44">
        <f t="shared" si="33"/>
        <v>715000</v>
      </c>
      <c r="J57" s="44">
        <f t="shared" si="33"/>
        <v>740000</v>
      </c>
      <c r="K57" s="44">
        <f t="shared" si="33"/>
        <v>690000</v>
      </c>
      <c r="L57" s="44">
        <f t="shared" si="33"/>
        <v>294</v>
      </c>
      <c r="M57" s="44">
        <f t="shared" si="33"/>
        <v>267</v>
      </c>
      <c r="N57" s="44">
        <f t="shared" si="33"/>
        <v>297</v>
      </c>
      <c r="O57" s="44">
        <f t="shared" si="33"/>
        <v>100</v>
      </c>
      <c r="P57" s="44">
        <f t="shared" si="33"/>
        <v>125</v>
      </c>
      <c r="Q57" s="44">
        <f t="shared" si="33"/>
        <v>175</v>
      </c>
      <c r="R57" s="44">
        <f t="shared" si="33"/>
        <v>102</v>
      </c>
      <c r="S57" s="44">
        <f t="shared" si="33"/>
        <v>100</v>
      </c>
      <c r="T57" s="44">
        <f t="shared" si="33"/>
        <v>99</v>
      </c>
      <c r="U57" s="44">
        <f t="shared" si="33"/>
        <v>102</v>
      </c>
      <c r="V57" s="44">
        <f t="shared" si="33"/>
        <v>91</v>
      </c>
      <c r="W57" s="44">
        <f t="shared" si="33"/>
        <v>87</v>
      </c>
      <c r="X57" s="44">
        <f t="shared" si="33"/>
        <v>38500</v>
      </c>
      <c r="Y57" s="44">
        <f t="shared" si="33"/>
        <v>35300</v>
      </c>
      <c r="Z57" s="44">
        <f t="shared" si="33"/>
        <v>32000</v>
      </c>
      <c r="AA57" s="44">
        <f t="shared" ref="AA57:AR57" si="34">AVERAGE(AA52:AA56)</f>
        <v>393.82</v>
      </c>
      <c r="AB57" s="44">
        <f t="shared" si="34"/>
        <v>363.63599999999997</v>
      </c>
      <c r="AC57" s="44">
        <f t="shared" si="34"/>
        <v>328.68</v>
      </c>
      <c r="AD57" s="44">
        <f t="shared" si="34"/>
        <v>350</v>
      </c>
      <c r="AE57" s="44">
        <f t="shared" si="34"/>
        <v>450</v>
      </c>
      <c r="AF57" s="44">
        <f t="shared" si="34"/>
        <v>350</v>
      </c>
      <c r="AG57" s="44">
        <f t="shared" si="34"/>
        <v>387</v>
      </c>
      <c r="AH57" s="44">
        <f t="shared" si="34"/>
        <v>371</v>
      </c>
      <c r="AI57" s="44">
        <f t="shared" si="34"/>
        <v>378</v>
      </c>
      <c r="AJ57" s="44">
        <f t="shared" si="34"/>
        <v>2709.0160000000001</v>
      </c>
      <c r="AK57" s="44">
        <f t="shared" si="34"/>
        <v>2854.7080000000001</v>
      </c>
      <c r="AL57" s="44">
        <f t="shared" si="34"/>
        <v>2571.576</v>
      </c>
      <c r="AM57" s="44">
        <f t="shared" si="34"/>
        <v>2440</v>
      </c>
      <c r="AN57" s="44">
        <f t="shared" si="34"/>
        <v>2620</v>
      </c>
      <c r="AO57" s="44">
        <f t="shared" si="34"/>
        <v>2298</v>
      </c>
      <c r="AP57" s="44">
        <f t="shared" si="34"/>
        <v>2200</v>
      </c>
      <c r="AQ57" s="44">
        <f t="shared" si="34"/>
        <v>2300</v>
      </c>
      <c r="AR57" s="44">
        <f t="shared" si="34"/>
        <v>2500</v>
      </c>
    </row>
    <row r="58" spans="1:44" ht="14.25" customHeight="1">
      <c r="A58" s="1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</row>
    <row r="59" spans="1:44" ht="14.25" customHeight="1">
      <c r="A59" s="36"/>
      <c r="B59" s="37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7"/>
    </row>
    <row r="60" spans="1:44" ht="14.25" customHeight="1">
      <c r="A60" s="36"/>
      <c r="B60" s="37"/>
      <c r="C60" s="58" t="s">
        <v>47</v>
      </c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  <c r="AE60" s="59"/>
      <c r="AF60" s="59"/>
      <c r="AG60" s="59"/>
      <c r="AH60" s="59"/>
      <c r="AI60" s="59"/>
      <c r="AJ60" s="59"/>
      <c r="AK60" s="59"/>
      <c r="AL60" s="59"/>
      <c r="AM60" s="59"/>
      <c r="AN60" s="59"/>
      <c r="AO60" s="59"/>
      <c r="AP60" s="59"/>
      <c r="AQ60" s="59"/>
      <c r="AR60" s="60"/>
    </row>
    <row r="61" spans="1:44" ht="14.25" customHeight="1">
      <c r="A61" s="36"/>
      <c r="B61" s="37"/>
      <c r="C61" s="39" t="s">
        <v>7</v>
      </c>
      <c r="D61" s="39" t="s">
        <v>8</v>
      </c>
      <c r="E61" s="40" t="s">
        <v>9</v>
      </c>
      <c r="F61" s="39" t="s">
        <v>7</v>
      </c>
      <c r="G61" s="39" t="s">
        <v>8</v>
      </c>
      <c r="H61" s="40" t="s">
        <v>9</v>
      </c>
      <c r="I61" s="39" t="s">
        <v>7</v>
      </c>
      <c r="J61" s="39" t="s">
        <v>8</v>
      </c>
      <c r="K61" s="40" t="s">
        <v>9</v>
      </c>
      <c r="L61" s="39" t="s">
        <v>7</v>
      </c>
      <c r="M61" s="39" t="s">
        <v>8</v>
      </c>
      <c r="N61" s="40" t="s">
        <v>9</v>
      </c>
      <c r="O61" s="39" t="s">
        <v>7</v>
      </c>
      <c r="P61" s="39" t="s">
        <v>8</v>
      </c>
      <c r="Q61" s="40" t="s">
        <v>9</v>
      </c>
      <c r="R61" s="39" t="s">
        <v>7</v>
      </c>
      <c r="S61" s="39" t="s">
        <v>8</v>
      </c>
      <c r="T61" s="40" t="s">
        <v>9</v>
      </c>
      <c r="U61" s="39" t="s">
        <v>7</v>
      </c>
      <c r="V61" s="39" t="s">
        <v>8</v>
      </c>
      <c r="W61" s="40" t="s">
        <v>9</v>
      </c>
      <c r="X61" s="39" t="s">
        <v>7</v>
      </c>
      <c r="Y61" s="39" t="s">
        <v>8</v>
      </c>
      <c r="Z61" s="40" t="s">
        <v>9</v>
      </c>
      <c r="AA61" s="39" t="s">
        <v>7</v>
      </c>
      <c r="AB61" s="39" t="s">
        <v>8</v>
      </c>
      <c r="AC61" s="40" t="s">
        <v>9</v>
      </c>
      <c r="AD61" s="39" t="s">
        <v>7</v>
      </c>
      <c r="AE61" s="39" t="s">
        <v>8</v>
      </c>
      <c r="AF61" s="40" t="s">
        <v>9</v>
      </c>
      <c r="AG61" s="39" t="s">
        <v>7</v>
      </c>
      <c r="AH61" s="39" t="s">
        <v>8</v>
      </c>
      <c r="AI61" s="40" t="s">
        <v>9</v>
      </c>
      <c r="AJ61" s="39" t="s">
        <v>7</v>
      </c>
      <c r="AK61" s="39" t="s">
        <v>8</v>
      </c>
      <c r="AL61" s="40" t="s">
        <v>9</v>
      </c>
      <c r="AM61" s="39" t="s">
        <v>7</v>
      </c>
      <c r="AN61" s="39" t="s">
        <v>8</v>
      </c>
      <c r="AO61" s="40" t="s">
        <v>9</v>
      </c>
      <c r="AP61" s="39" t="s">
        <v>7</v>
      </c>
      <c r="AQ61" s="39" t="s">
        <v>8</v>
      </c>
      <c r="AR61" s="40" t="s">
        <v>9</v>
      </c>
    </row>
    <row r="62" spans="1:44" ht="14.25" customHeight="1">
      <c r="A62" s="36"/>
      <c r="B62" s="37"/>
      <c r="C62" s="41" t="s">
        <v>11</v>
      </c>
      <c r="D62" s="41" t="s">
        <v>11</v>
      </c>
      <c r="E62" s="42" t="s">
        <v>11</v>
      </c>
      <c r="F62" s="41" t="s">
        <v>12</v>
      </c>
      <c r="G62" s="41" t="s">
        <v>12</v>
      </c>
      <c r="H62" s="42" t="s">
        <v>12</v>
      </c>
      <c r="I62" s="41" t="s">
        <v>13</v>
      </c>
      <c r="J62" s="41" t="s">
        <v>13</v>
      </c>
      <c r="K62" s="42" t="s">
        <v>13</v>
      </c>
      <c r="L62" s="41" t="s">
        <v>14</v>
      </c>
      <c r="M62" s="41" t="s">
        <v>14</v>
      </c>
      <c r="N62" s="42" t="s">
        <v>14</v>
      </c>
      <c r="O62" s="41" t="s">
        <v>15</v>
      </c>
      <c r="P62" s="41" t="s">
        <v>15</v>
      </c>
      <c r="Q62" s="42" t="s">
        <v>15</v>
      </c>
      <c r="R62" s="41" t="s">
        <v>16</v>
      </c>
      <c r="S62" s="41" t="s">
        <v>16</v>
      </c>
      <c r="T62" s="42" t="s">
        <v>16</v>
      </c>
      <c r="U62" s="41" t="s">
        <v>17</v>
      </c>
      <c r="V62" s="41" t="s">
        <v>17</v>
      </c>
      <c r="W62" s="42" t="s">
        <v>17</v>
      </c>
      <c r="X62" s="41" t="s">
        <v>18</v>
      </c>
      <c r="Y62" s="41" t="s">
        <v>18</v>
      </c>
      <c r="Z62" s="42" t="s">
        <v>18</v>
      </c>
      <c r="AA62" s="41" t="s">
        <v>19</v>
      </c>
      <c r="AB62" s="41" t="s">
        <v>19</v>
      </c>
      <c r="AC62" s="42" t="s">
        <v>19</v>
      </c>
      <c r="AD62" s="41" t="s">
        <v>20</v>
      </c>
      <c r="AE62" s="41" t="s">
        <v>20</v>
      </c>
      <c r="AF62" s="42" t="s">
        <v>20</v>
      </c>
      <c r="AG62" s="41" t="s">
        <v>21</v>
      </c>
      <c r="AH62" s="41" t="s">
        <v>21</v>
      </c>
      <c r="AI62" s="42" t="s">
        <v>21</v>
      </c>
      <c r="AJ62" s="41" t="s">
        <v>22</v>
      </c>
      <c r="AK62" s="41" t="s">
        <v>22</v>
      </c>
      <c r="AL62" s="42" t="s">
        <v>22</v>
      </c>
      <c r="AM62" s="41" t="s">
        <v>23</v>
      </c>
      <c r="AN62" s="41" t="s">
        <v>23</v>
      </c>
      <c r="AO62" s="42" t="s">
        <v>23</v>
      </c>
      <c r="AP62" s="41" t="s">
        <v>24</v>
      </c>
      <c r="AQ62" s="41" t="s">
        <v>24</v>
      </c>
      <c r="AR62" s="42" t="s">
        <v>24</v>
      </c>
    </row>
    <row r="63" spans="1:44" ht="14.25" customHeight="1">
      <c r="A63" s="43"/>
      <c r="B63" s="43" t="s">
        <v>25</v>
      </c>
      <c r="C63" s="43">
        <v>145000</v>
      </c>
      <c r="D63" s="43">
        <v>150000</v>
      </c>
      <c r="E63" s="43">
        <v>150000</v>
      </c>
      <c r="F63" s="43">
        <v>165000</v>
      </c>
      <c r="G63" s="43">
        <v>155000</v>
      </c>
      <c r="H63" s="43">
        <v>145000</v>
      </c>
      <c r="I63" s="43">
        <v>155000</v>
      </c>
      <c r="J63" s="43">
        <v>125000</v>
      </c>
      <c r="K63" s="43">
        <v>145000</v>
      </c>
      <c r="L63" s="43">
        <v>75</v>
      </c>
      <c r="M63" s="43">
        <v>76</v>
      </c>
      <c r="N63" s="43">
        <v>80</v>
      </c>
      <c r="O63" s="43">
        <v>20</v>
      </c>
      <c r="P63" s="43">
        <v>20</v>
      </c>
      <c r="Q63" s="43">
        <v>20</v>
      </c>
      <c r="R63" s="43">
        <v>15</v>
      </c>
      <c r="S63" s="43">
        <v>22</v>
      </c>
      <c r="T63" s="43">
        <v>25</v>
      </c>
      <c r="U63" s="43">
        <v>21</v>
      </c>
      <c r="V63" s="43">
        <v>17</v>
      </c>
      <c r="W63" s="43">
        <v>16</v>
      </c>
      <c r="X63" s="43">
        <v>4700</v>
      </c>
      <c r="Y63" s="43">
        <v>7000</v>
      </c>
      <c r="Z63" s="43">
        <v>6000</v>
      </c>
      <c r="AA63" s="43">
        <v>313.33</v>
      </c>
      <c r="AB63" s="43">
        <v>318.18</v>
      </c>
      <c r="AC63" s="43">
        <v>240</v>
      </c>
      <c r="AD63" s="43">
        <v>350</v>
      </c>
      <c r="AE63" s="43">
        <v>350</v>
      </c>
      <c r="AF63" s="43">
        <v>300</v>
      </c>
      <c r="AG63" s="43">
        <v>410</v>
      </c>
      <c r="AH63" s="43">
        <v>385</v>
      </c>
      <c r="AI63" s="43">
        <v>390</v>
      </c>
      <c r="AJ63" s="43">
        <v>1866.67</v>
      </c>
      <c r="AK63" s="43">
        <v>1973.68</v>
      </c>
      <c r="AL63" s="43">
        <v>1875</v>
      </c>
      <c r="AM63" s="43">
        <v>2500</v>
      </c>
      <c r="AN63" s="43">
        <v>2700</v>
      </c>
      <c r="AO63" s="43">
        <v>2400</v>
      </c>
      <c r="AP63" s="43">
        <v>2450</v>
      </c>
      <c r="AQ63" s="43">
        <v>2700</v>
      </c>
      <c r="AR63" s="43">
        <v>2350</v>
      </c>
    </row>
    <row r="64" spans="1:44" ht="14.25" customHeight="1">
      <c r="A64" s="43"/>
      <c r="B64" s="43" t="s">
        <v>26</v>
      </c>
      <c r="C64" s="43">
        <v>115000</v>
      </c>
      <c r="D64" s="43">
        <v>140000</v>
      </c>
      <c r="E64" s="43">
        <v>170000</v>
      </c>
      <c r="F64" s="43">
        <v>165000</v>
      </c>
      <c r="G64" s="43">
        <v>155000</v>
      </c>
      <c r="H64" s="43">
        <v>145000</v>
      </c>
      <c r="I64" s="43">
        <v>140000</v>
      </c>
      <c r="J64" s="43">
        <v>125000</v>
      </c>
      <c r="K64" s="43">
        <v>130000</v>
      </c>
      <c r="L64" s="43">
        <v>65</v>
      </c>
      <c r="M64" s="43">
        <v>85</v>
      </c>
      <c r="N64" s="43">
        <v>70</v>
      </c>
      <c r="O64" s="43">
        <v>20</v>
      </c>
      <c r="P64" s="43">
        <v>20</v>
      </c>
      <c r="Q64" s="43">
        <v>20</v>
      </c>
      <c r="R64" s="43">
        <v>25</v>
      </c>
      <c r="S64" s="43">
        <v>18</v>
      </c>
      <c r="T64" s="43">
        <v>24</v>
      </c>
      <c r="U64" s="43">
        <v>16</v>
      </c>
      <c r="V64" s="43">
        <v>14</v>
      </c>
      <c r="W64" s="43">
        <v>21</v>
      </c>
      <c r="X64" s="43">
        <v>6000</v>
      </c>
      <c r="Y64" s="43">
        <v>5000</v>
      </c>
      <c r="Z64" s="43">
        <v>8500</v>
      </c>
      <c r="AA64" s="43">
        <v>240</v>
      </c>
      <c r="AB64" s="43">
        <v>277.77999999999997</v>
      </c>
      <c r="AC64" s="43">
        <v>354.17</v>
      </c>
      <c r="AD64" s="43">
        <v>350</v>
      </c>
      <c r="AE64" s="43">
        <v>350</v>
      </c>
      <c r="AF64" s="43">
        <v>300</v>
      </c>
      <c r="AG64" s="43">
        <v>408</v>
      </c>
      <c r="AH64" s="43">
        <v>350</v>
      </c>
      <c r="AI64" s="43">
        <v>370</v>
      </c>
      <c r="AJ64" s="43">
        <v>1769.23</v>
      </c>
      <c r="AK64" s="43">
        <v>1647.06</v>
      </c>
      <c r="AL64" s="43">
        <v>2428.5700000000002</v>
      </c>
      <c r="AM64" s="43">
        <v>1800</v>
      </c>
      <c r="AN64" s="43">
        <v>2200</v>
      </c>
      <c r="AO64" s="43">
        <v>2300</v>
      </c>
      <c r="AP64" s="43">
        <v>2450</v>
      </c>
      <c r="AQ64" s="43">
        <v>2700</v>
      </c>
      <c r="AR64" s="43">
        <v>2350</v>
      </c>
    </row>
    <row r="65" spans="1:44" ht="14.25" customHeight="1">
      <c r="A65" s="43"/>
      <c r="B65" s="43" t="s">
        <v>27</v>
      </c>
      <c r="C65" s="43">
        <v>165000</v>
      </c>
      <c r="D65" s="43">
        <v>140000</v>
      </c>
      <c r="E65" s="43">
        <v>145000</v>
      </c>
      <c r="F65" s="43">
        <v>165000</v>
      </c>
      <c r="G65" s="43">
        <v>155000</v>
      </c>
      <c r="H65" s="43">
        <v>145000</v>
      </c>
      <c r="I65" s="43">
        <v>165000</v>
      </c>
      <c r="J65" s="43">
        <v>150000</v>
      </c>
      <c r="K65" s="43">
        <v>155000</v>
      </c>
      <c r="L65" s="43">
        <v>65</v>
      </c>
      <c r="M65" s="43">
        <v>72</v>
      </c>
      <c r="N65" s="43">
        <v>78</v>
      </c>
      <c r="O65" s="43">
        <v>20</v>
      </c>
      <c r="P65" s="43">
        <v>20</v>
      </c>
      <c r="Q65" s="43">
        <v>20</v>
      </c>
      <c r="R65" s="43">
        <v>25</v>
      </c>
      <c r="S65" s="43">
        <v>17</v>
      </c>
      <c r="T65" s="43">
        <v>14</v>
      </c>
      <c r="U65" s="43">
        <v>15</v>
      </c>
      <c r="V65" s="43">
        <v>21</v>
      </c>
      <c r="W65" s="43">
        <v>20</v>
      </c>
      <c r="X65" s="43">
        <v>4000</v>
      </c>
      <c r="Y65" s="43">
        <v>8000</v>
      </c>
      <c r="Z65" s="43">
        <v>8000</v>
      </c>
      <c r="AA65" s="43">
        <v>160</v>
      </c>
      <c r="AB65" s="43">
        <v>470.59</v>
      </c>
      <c r="AC65" s="43">
        <v>571.42999999999995</v>
      </c>
      <c r="AD65" s="43">
        <v>350</v>
      </c>
      <c r="AE65" s="43">
        <v>350</v>
      </c>
      <c r="AF65" s="43">
        <v>300</v>
      </c>
      <c r="AG65" s="43">
        <v>345</v>
      </c>
      <c r="AH65" s="43">
        <v>405</v>
      </c>
      <c r="AI65" s="43">
        <v>352</v>
      </c>
      <c r="AJ65" s="43">
        <v>2538.46</v>
      </c>
      <c r="AK65" s="43">
        <v>1944.44</v>
      </c>
      <c r="AL65" s="43">
        <v>1858.97</v>
      </c>
      <c r="AM65" s="43">
        <v>2500</v>
      </c>
      <c r="AN65" s="43">
        <v>2500</v>
      </c>
      <c r="AO65" s="43">
        <v>2600</v>
      </c>
      <c r="AP65" s="43">
        <v>2450</v>
      </c>
      <c r="AQ65" s="43">
        <v>2700</v>
      </c>
      <c r="AR65" s="43">
        <v>2350</v>
      </c>
    </row>
    <row r="66" spans="1:44" ht="14.25" customHeight="1">
      <c r="A66" s="43"/>
      <c r="B66" s="43" t="s">
        <v>28</v>
      </c>
      <c r="C66" s="43">
        <v>125000</v>
      </c>
      <c r="D66" s="43">
        <v>155000</v>
      </c>
      <c r="E66" s="43">
        <v>155000</v>
      </c>
      <c r="F66" s="43">
        <v>165000</v>
      </c>
      <c r="G66" s="43">
        <v>155000</v>
      </c>
      <c r="H66" s="43">
        <v>145000</v>
      </c>
      <c r="I66" s="43">
        <v>150000</v>
      </c>
      <c r="J66" s="43">
        <v>145000</v>
      </c>
      <c r="K66" s="43">
        <v>125000</v>
      </c>
      <c r="L66" s="43">
        <v>65</v>
      </c>
      <c r="M66" s="43">
        <v>70</v>
      </c>
      <c r="N66" s="43">
        <v>85</v>
      </c>
      <c r="O66" s="43">
        <v>20</v>
      </c>
      <c r="P66" s="43">
        <v>20</v>
      </c>
      <c r="Q66" s="43">
        <v>20</v>
      </c>
      <c r="R66" s="43">
        <v>19</v>
      </c>
      <c r="S66" s="43">
        <v>15</v>
      </c>
      <c r="T66" s="43">
        <v>21</v>
      </c>
      <c r="U66" s="43">
        <v>22</v>
      </c>
      <c r="V66" s="43">
        <v>20</v>
      </c>
      <c r="W66" s="43">
        <v>17</v>
      </c>
      <c r="X66" s="43">
        <v>9000</v>
      </c>
      <c r="Y66" s="43">
        <v>8500</v>
      </c>
      <c r="Z66" s="43">
        <v>7000</v>
      </c>
      <c r="AA66" s="43">
        <v>473.68</v>
      </c>
      <c r="AB66" s="43">
        <v>566.66999999999996</v>
      </c>
      <c r="AC66" s="43">
        <v>333.33</v>
      </c>
      <c r="AD66" s="43">
        <v>350</v>
      </c>
      <c r="AE66" s="43">
        <v>350</v>
      </c>
      <c r="AF66" s="43">
        <v>300</v>
      </c>
      <c r="AG66" s="43">
        <v>350</v>
      </c>
      <c r="AH66" s="43">
        <v>400</v>
      </c>
      <c r="AI66" s="43">
        <v>388</v>
      </c>
      <c r="AJ66" s="43">
        <v>1923.08</v>
      </c>
      <c r="AK66" s="43">
        <v>2214.29</v>
      </c>
      <c r="AL66" s="43">
        <v>1823.53</v>
      </c>
      <c r="AM66" s="43">
        <v>2100</v>
      </c>
      <c r="AN66" s="43">
        <v>2400</v>
      </c>
      <c r="AO66" s="43">
        <v>2400</v>
      </c>
      <c r="AP66" s="43">
        <v>2450</v>
      </c>
      <c r="AQ66" s="43">
        <v>2700</v>
      </c>
      <c r="AR66" s="43">
        <v>2350</v>
      </c>
    </row>
    <row r="67" spans="1:44" ht="14.25" customHeight="1">
      <c r="A67" s="43"/>
      <c r="B67" s="43" t="s">
        <v>29</v>
      </c>
      <c r="C67" s="43">
        <v>150000</v>
      </c>
      <c r="D67" s="43">
        <v>130000</v>
      </c>
      <c r="E67" s="43">
        <v>150000</v>
      </c>
      <c r="F67" s="43">
        <v>165000</v>
      </c>
      <c r="G67" s="43">
        <v>155000</v>
      </c>
      <c r="H67" s="43">
        <v>145000</v>
      </c>
      <c r="I67" s="43">
        <v>170000</v>
      </c>
      <c r="J67" s="43">
        <v>155000</v>
      </c>
      <c r="K67" s="43">
        <v>130000</v>
      </c>
      <c r="L67" s="43">
        <v>75</v>
      </c>
      <c r="M67" s="43">
        <v>63</v>
      </c>
      <c r="N67" s="43">
        <v>80</v>
      </c>
      <c r="O67" s="43">
        <v>20</v>
      </c>
      <c r="P67" s="43">
        <v>20</v>
      </c>
      <c r="Q67" s="43">
        <v>20</v>
      </c>
      <c r="R67" s="43">
        <v>24</v>
      </c>
      <c r="S67" s="43">
        <v>15</v>
      </c>
      <c r="T67" s="43">
        <v>30</v>
      </c>
      <c r="U67" s="43">
        <v>23</v>
      </c>
      <c r="V67" s="43">
        <v>24</v>
      </c>
      <c r="W67" s="43">
        <v>20</v>
      </c>
      <c r="X67" s="43">
        <v>9500</v>
      </c>
      <c r="Y67" s="43">
        <v>9000</v>
      </c>
      <c r="Z67" s="43">
        <v>8000</v>
      </c>
      <c r="AA67" s="43">
        <v>395.83</v>
      </c>
      <c r="AB67" s="43">
        <v>600</v>
      </c>
      <c r="AC67" s="43">
        <v>266.67</v>
      </c>
      <c r="AD67" s="43">
        <v>350</v>
      </c>
      <c r="AE67" s="43">
        <v>350</v>
      </c>
      <c r="AF67" s="43">
        <v>300</v>
      </c>
      <c r="AG67" s="43">
        <v>360</v>
      </c>
      <c r="AH67" s="43">
        <v>350</v>
      </c>
      <c r="AI67" s="43">
        <v>425</v>
      </c>
      <c r="AJ67" s="43">
        <v>2000</v>
      </c>
      <c r="AK67" s="43">
        <v>2063.4899999999998</v>
      </c>
      <c r="AL67" s="43">
        <v>1875</v>
      </c>
      <c r="AM67" s="43">
        <v>2100</v>
      </c>
      <c r="AN67" s="43">
        <v>2800</v>
      </c>
      <c r="AO67" s="43">
        <v>3000</v>
      </c>
      <c r="AP67" s="43">
        <v>2450</v>
      </c>
      <c r="AQ67" s="43">
        <v>2700</v>
      </c>
      <c r="AR67" s="43">
        <v>2350</v>
      </c>
    </row>
    <row r="68" spans="1:44" ht="14.25" customHeight="1">
      <c r="A68" s="44"/>
      <c r="B68" s="44" t="s">
        <v>30</v>
      </c>
      <c r="C68" s="44">
        <f t="shared" ref="C68:Z68" si="35">SUM(C63:C67)</f>
        <v>700000</v>
      </c>
      <c r="D68" s="44">
        <f t="shared" si="35"/>
        <v>715000</v>
      </c>
      <c r="E68" s="44">
        <f t="shared" si="35"/>
        <v>770000</v>
      </c>
      <c r="F68" s="44">
        <f t="shared" si="35"/>
        <v>825000</v>
      </c>
      <c r="G68" s="44">
        <f t="shared" si="35"/>
        <v>775000</v>
      </c>
      <c r="H68" s="44">
        <f t="shared" si="35"/>
        <v>725000</v>
      </c>
      <c r="I68" s="44">
        <f t="shared" si="35"/>
        <v>780000</v>
      </c>
      <c r="J68" s="44">
        <f t="shared" si="35"/>
        <v>700000</v>
      </c>
      <c r="K68" s="44">
        <f t="shared" si="35"/>
        <v>685000</v>
      </c>
      <c r="L68" s="44">
        <f t="shared" si="35"/>
        <v>345</v>
      </c>
      <c r="M68" s="44">
        <f t="shared" si="35"/>
        <v>366</v>
      </c>
      <c r="N68" s="44">
        <f t="shared" si="35"/>
        <v>393</v>
      </c>
      <c r="O68" s="44">
        <f t="shared" si="35"/>
        <v>100</v>
      </c>
      <c r="P68" s="44">
        <f t="shared" si="35"/>
        <v>100</v>
      </c>
      <c r="Q68" s="44">
        <f t="shared" si="35"/>
        <v>100</v>
      </c>
      <c r="R68" s="44">
        <f t="shared" si="35"/>
        <v>108</v>
      </c>
      <c r="S68" s="44">
        <f t="shared" si="35"/>
        <v>87</v>
      </c>
      <c r="T68" s="44">
        <f t="shared" si="35"/>
        <v>114</v>
      </c>
      <c r="U68" s="44">
        <f t="shared" si="35"/>
        <v>97</v>
      </c>
      <c r="V68" s="44">
        <f t="shared" si="35"/>
        <v>96</v>
      </c>
      <c r="W68" s="44">
        <f t="shared" si="35"/>
        <v>94</v>
      </c>
      <c r="X68" s="44">
        <f t="shared" si="35"/>
        <v>33200</v>
      </c>
      <c r="Y68" s="44">
        <f t="shared" si="35"/>
        <v>37500</v>
      </c>
      <c r="Z68" s="44">
        <f t="shared" si="35"/>
        <v>37500</v>
      </c>
      <c r="AA68" s="44">
        <f t="shared" ref="AA68:AR68" si="36">AVERAGE(AA63:AA67)</f>
        <v>316.56799999999998</v>
      </c>
      <c r="AB68" s="44">
        <f t="shared" si="36"/>
        <v>446.64399999999995</v>
      </c>
      <c r="AC68" s="44">
        <f t="shared" si="36"/>
        <v>353.12</v>
      </c>
      <c r="AD68" s="44">
        <f t="shared" si="36"/>
        <v>350</v>
      </c>
      <c r="AE68" s="44">
        <f t="shared" si="36"/>
        <v>350</v>
      </c>
      <c r="AF68" s="44">
        <f t="shared" si="36"/>
        <v>300</v>
      </c>
      <c r="AG68" s="44">
        <f t="shared" si="36"/>
        <v>374.6</v>
      </c>
      <c r="AH68" s="44">
        <f t="shared" si="36"/>
        <v>378</v>
      </c>
      <c r="AI68" s="44">
        <f t="shared" si="36"/>
        <v>385</v>
      </c>
      <c r="AJ68" s="44">
        <f t="shared" si="36"/>
        <v>2019.4880000000001</v>
      </c>
      <c r="AK68" s="44">
        <f t="shared" si="36"/>
        <v>1968.5919999999999</v>
      </c>
      <c r="AL68" s="44">
        <f t="shared" si="36"/>
        <v>1972.2139999999999</v>
      </c>
      <c r="AM68" s="44">
        <f t="shared" si="36"/>
        <v>2200</v>
      </c>
      <c r="AN68" s="44">
        <f t="shared" si="36"/>
        <v>2520</v>
      </c>
      <c r="AO68" s="44">
        <f t="shared" si="36"/>
        <v>2540</v>
      </c>
      <c r="AP68" s="44">
        <f t="shared" si="36"/>
        <v>2450</v>
      </c>
      <c r="AQ68" s="44">
        <f t="shared" si="36"/>
        <v>2700</v>
      </c>
      <c r="AR68" s="44">
        <f t="shared" si="36"/>
        <v>2350</v>
      </c>
    </row>
    <row r="69" spans="1:44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</row>
    <row r="70" spans="1:44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</row>
    <row r="71" spans="1:44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</row>
    <row r="72" spans="1:44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</row>
    <row r="73" spans="1:44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</row>
    <row r="74" spans="1:4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</row>
    <row r="75" spans="1:44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</row>
    <row r="76" spans="1:44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</row>
    <row r="77" spans="1:44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</row>
    <row r="78" spans="1:44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</row>
    <row r="79" spans="1:44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</row>
    <row r="80" spans="1:44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</row>
    <row r="81" spans="1:44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</row>
    <row r="82" spans="1:44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</row>
    <row r="83" spans="1:44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</row>
    <row r="84" spans="1:4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</row>
    <row r="85" spans="1:44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</row>
    <row r="86" spans="1:44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</row>
    <row r="87" spans="1:44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</row>
    <row r="88" spans="1:44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</row>
    <row r="89" spans="1:44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</row>
    <row r="90" spans="1:44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</row>
    <row r="91" spans="1:44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</row>
    <row r="92" spans="1:44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</row>
    <row r="93" spans="1:44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</row>
    <row r="94" spans="1:4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</row>
    <row r="95" spans="1:44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</row>
    <row r="96" spans="1:44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</row>
    <row r="97" spans="1:44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</row>
    <row r="98" spans="1:44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</row>
    <row r="99" spans="1:44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</row>
    <row r="100" spans="1:44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</row>
    <row r="101" spans="1:44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</row>
    <row r="102" spans="1:44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</row>
    <row r="103" spans="1:44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</row>
    <row r="104" spans="1:4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</row>
    <row r="105" spans="1:44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</row>
    <row r="106" spans="1:44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</row>
    <row r="107" spans="1:44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</row>
    <row r="108" spans="1:44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</row>
    <row r="109" spans="1:44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</row>
    <row r="110" spans="1:44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</row>
    <row r="111" spans="1:44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</row>
    <row r="112" spans="1:44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</row>
    <row r="113" spans="1:44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</row>
    <row r="114" spans="1:4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</row>
    <row r="115" spans="1:44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</row>
    <row r="116" spans="1:44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</row>
    <row r="117" spans="1:44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</row>
    <row r="118" spans="1:44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</row>
    <row r="119" spans="1:44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</row>
    <row r="120" spans="1:44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</row>
    <row r="121" spans="1:44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</row>
    <row r="122" spans="1:44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</row>
    <row r="123" spans="1:44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</row>
    <row r="124" spans="1:4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</row>
    <row r="125" spans="1:44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</row>
    <row r="126" spans="1:44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</row>
    <row r="127" spans="1:44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</row>
    <row r="128" spans="1:44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</row>
    <row r="129" spans="1:44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</row>
    <row r="130" spans="1:44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</row>
    <row r="131" spans="1:44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</row>
    <row r="132" spans="1:44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</row>
    <row r="133" spans="1:44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</row>
    <row r="134" spans="1:4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</row>
    <row r="135" spans="1:44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</row>
    <row r="136" spans="1:44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</row>
    <row r="137" spans="1:44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</row>
    <row r="138" spans="1:44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</row>
    <row r="139" spans="1:44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</row>
    <row r="140" spans="1:44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</row>
    <row r="141" spans="1:44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</row>
    <row r="142" spans="1:44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</row>
    <row r="143" spans="1:44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</row>
    <row r="144" spans="1: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</row>
    <row r="145" spans="1:44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</row>
    <row r="146" spans="1:44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</row>
    <row r="147" spans="1:44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</row>
    <row r="148" spans="1:44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</row>
    <row r="149" spans="1:44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</row>
    <row r="150" spans="1:44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</row>
    <row r="151" spans="1:44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</row>
    <row r="152" spans="1:44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</row>
    <row r="153" spans="1:44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</row>
    <row r="154" spans="1:4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</row>
    <row r="155" spans="1:44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</row>
    <row r="156" spans="1:44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</row>
    <row r="157" spans="1:44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</row>
    <row r="158" spans="1:44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</row>
    <row r="159" spans="1:44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</row>
    <row r="160" spans="1:44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</row>
    <row r="161" spans="1:44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</row>
    <row r="162" spans="1:44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</row>
    <row r="163" spans="1:44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</row>
    <row r="164" spans="1:4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</row>
    <row r="165" spans="1:44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</row>
    <row r="166" spans="1:44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</row>
    <row r="167" spans="1:44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</row>
    <row r="168" spans="1:44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</row>
    <row r="169" spans="1:44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</row>
    <row r="170" spans="1:44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</row>
    <row r="171" spans="1:44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</row>
    <row r="172" spans="1:44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</row>
    <row r="173" spans="1:44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</row>
    <row r="174" spans="1:4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</row>
    <row r="175" spans="1:44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</row>
    <row r="176" spans="1:44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</row>
    <row r="177" spans="1:44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</row>
    <row r="178" spans="1:44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</row>
    <row r="179" spans="1:44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</row>
    <row r="180" spans="1:44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</row>
    <row r="181" spans="1:44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</row>
    <row r="182" spans="1:44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</row>
    <row r="183" spans="1:44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</row>
    <row r="184" spans="1:4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</row>
    <row r="185" spans="1:44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</row>
    <row r="186" spans="1:44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</row>
    <row r="187" spans="1:44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</row>
    <row r="188" spans="1:44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</row>
    <row r="189" spans="1:44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</row>
    <row r="190" spans="1:44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</row>
    <row r="191" spans="1:44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</row>
    <row r="192" spans="1:44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</row>
    <row r="193" spans="1:44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</row>
    <row r="194" spans="1:4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</row>
    <row r="195" spans="1:44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</row>
    <row r="196" spans="1:44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</row>
    <row r="197" spans="1:44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</row>
    <row r="198" spans="1:44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</row>
    <row r="199" spans="1:44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</row>
    <row r="200" spans="1:44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</row>
    <row r="201" spans="1:44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</row>
    <row r="202" spans="1:44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</row>
    <row r="203" spans="1:44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</row>
    <row r="204" spans="1:4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</row>
    <row r="205" spans="1:44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</row>
    <row r="206" spans="1:44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</row>
    <row r="207" spans="1:44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</row>
    <row r="208" spans="1:44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</row>
    <row r="209" spans="1:44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</row>
    <row r="210" spans="1:44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</row>
    <row r="211" spans="1:44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</row>
    <row r="212" spans="1:44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</row>
    <row r="213" spans="1:44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</row>
    <row r="214" spans="1:4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</row>
    <row r="215" spans="1:44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</row>
    <row r="216" spans="1:44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</row>
    <row r="217" spans="1:44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</row>
    <row r="218" spans="1:44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</row>
    <row r="219" spans="1:44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</row>
    <row r="220" spans="1:44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</row>
    <row r="221" spans="1:44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</row>
    <row r="222" spans="1:44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</row>
    <row r="223" spans="1:44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</row>
    <row r="224" spans="1:4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</row>
    <row r="225" spans="1:44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</row>
    <row r="226" spans="1:44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</row>
    <row r="227" spans="1:44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</row>
    <row r="228" spans="1:44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</row>
    <row r="229" spans="1:44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</row>
    <row r="230" spans="1:44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</row>
    <row r="231" spans="1:44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</row>
    <row r="232" spans="1:44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</row>
    <row r="233" spans="1:44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</row>
    <row r="234" spans="1:4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</row>
    <row r="235" spans="1:44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</row>
    <row r="236" spans="1:44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</row>
    <row r="237" spans="1:44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</row>
    <row r="238" spans="1:44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</row>
    <row r="239" spans="1:44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</row>
    <row r="240" spans="1:44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</row>
    <row r="241" spans="1:44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</row>
    <row r="242" spans="1:44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</row>
    <row r="243" spans="1:44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</row>
    <row r="244" spans="1: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</row>
    <row r="245" spans="1:44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</row>
    <row r="246" spans="1:44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</row>
    <row r="247" spans="1:44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</row>
    <row r="248" spans="1:44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</row>
    <row r="249" spans="1:44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</row>
    <row r="250" spans="1:44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</row>
    <row r="251" spans="1:44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</row>
    <row r="252" spans="1:44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</row>
    <row r="253" spans="1:44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</row>
    <row r="254" spans="1:4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</row>
    <row r="255" spans="1:44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</row>
    <row r="256" spans="1:44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</row>
    <row r="257" spans="1:44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</row>
    <row r="258" spans="1:44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</row>
    <row r="259" spans="1:44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</row>
    <row r="260" spans="1:44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</row>
    <row r="261" spans="1:44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</row>
    <row r="262" spans="1:44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</row>
    <row r="263" spans="1:44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</row>
    <row r="264" spans="1:4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</row>
    <row r="265" spans="1:44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</row>
    <row r="266" spans="1:44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</row>
    <row r="267" spans="1:44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</row>
    <row r="268" spans="1:44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</row>
    <row r="269" spans="1:44" ht="14.25" customHeight="1"/>
    <row r="270" spans="1:44" ht="14.25" customHeight="1"/>
    <row r="271" spans="1:44" ht="14.25" customHeight="1"/>
    <row r="272" spans="1:44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C8:AR8"/>
    <mergeCell ref="C27:AR27"/>
    <mergeCell ref="C38:AR38"/>
    <mergeCell ref="C49:AR49"/>
    <mergeCell ref="C60:AR60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zoomScale="85" zoomScaleNormal="85" workbookViewId="0">
      <selection activeCell="H3" sqref="H3"/>
    </sheetView>
  </sheetViews>
  <sheetFormatPr defaultColWidth="14.44140625" defaultRowHeight="15" customHeight="1"/>
  <cols>
    <col min="1" max="1" width="22.44140625" customWidth="1"/>
    <col min="2" max="2" width="1.33203125" customWidth="1"/>
    <col min="3" max="3" width="23.33203125" customWidth="1"/>
    <col min="4" max="4" width="18.5546875" customWidth="1"/>
    <col min="5" max="6" width="8.6640625" customWidth="1"/>
    <col min="7" max="7" width="18.33203125" customWidth="1"/>
    <col min="8" max="8" width="8.6640625" customWidth="1"/>
    <col min="9" max="9" width="22.88671875" customWidth="1"/>
    <col min="10" max="10" width="2.33203125" customWidth="1"/>
    <col min="11" max="11" width="18" customWidth="1"/>
    <col min="12" max="12" width="13" customWidth="1"/>
    <col min="13" max="14" width="12.109375" customWidth="1"/>
    <col min="15" max="15" width="19.5546875" customWidth="1"/>
    <col min="16" max="26" width="8.6640625" customWidth="1"/>
  </cols>
  <sheetData>
    <row r="1" spans="1:26" ht="14.25" customHeight="1">
      <c r="A1" s="45"/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 spans="1:26" ht="25.8" customHeight="1">
      <c r="A2" s="61" t="s">
        <v>48</v>
      </c>
      <c r="B2" s="62"/>
      <c r="C2" s="63"/>
      <c r="D2" s="46" t="s">
        <v>1</v>
      </c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 spans="1:26" ht="27" customHeight="1">
      <c r="A3" s="64" t="s">
        <v>49</v>
      </c>
      <c r="B3" s="65"/>
      <c r="C3" s="65"/>
      <c r="D3" s="65"/>
      <c r="E3" s="65"/>
      <c r="F3" s="65"/>
      <c r="G3" s="66"/>
      <c r="H3" s="45"/>
      <c r="I3" s="67" t="s">
        <v>50</v>
      </c>
      <c r="J3" s="65"/>
      <c r="K3" s="65"/>
      <c r="L3" s="65"/>
      <c r="M3" s="65"/>
      <c r="N3" s="65"/>
      <c r="O3" s="66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 spans="1:26" ht="15" customHeight="1">
      <c r="A4" s="47"/>
      <c r="B4" s="47"/>
      <c r="C4" s="47"/>
      <c r="D4" s="48"/>
      <c r="E4" s="48"/>
      <c r="F4" s="48"/>
      <c r="G4" s="48"/>
      <c r="H4" s="45"/>
      <c r="I4" s="47"/>
      <c r="J4" s="47"/>
      <c r="K4" s="47"/>
      <c r="L4" s="48"/>
      <c r="M4" s="48"/>
      <c r="N4" s="48"/>
      <c r="O4" s="48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 spans="1:26" ht="25.5" customHeight="1">
      <c r="A5" s="49" t="s">
        <v>51</v>
      </c>
      <c r="B5" s="47"/>
      <c r="C5" s="47"/>
      <c r="D5" s="48"/>
      <c r="E5" s="48"/>
      <c r="F5" s="48"/>
      <c r="G5" s="48"/>
      <c r="H5" s="45"/>
      <c r="I5" s="78" t="s">
        <v>52</v>
      </c>
      <c r="J5" s="47"/>
      <c r="K5" s="47"/>
      <c r="L5" s="48"/>
      <c r="M5" s="48"/>
      <c r="N5" s="48"/>
      <c r="O5" s="48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6" spans="1:26" ht="14.25" customHeight="1">
      <c r="A6" s="47"/>
      <c r="B6" s="47"/>
      <c r="C6" s="47"/>
      <c r="D6" s="48"/>
      <c r="E6" s="48"/>
      <c r="F6" s="48"/>
      <c r="G6" s="48"/>
      <c r="H6" s="45"/>
      <c r="I6" s="47"/>
      <c r="J6" s="47"/>
      <c r="K6" s="47"/>
      <c r="L6" s="48"/>
      <c r="M6" s="48"/>
      <c r="N6" s="48"/>
      <c r="O6" s="48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 spans="1:26" ht="25.5" customHeight="1">
      <c r="A7" s="50">
        <f>SUM(DATA!C16:E16)</f>
        <v>2346500</v>
      </c>
      <c r="B7" s="47"/>
      <c r="C7" s="51" t="s">
        <v>53</v>
      </c>
      <c r="D7" s="48"/>
      <c r="E7" s="48"/>
      <c r="F7" s="48"/>
      <c r="G7" s="48"/>
      <c r="H7" s="45"/>
      <c r="I7" s="52">
        <f>SUM(DATA!R16:T16)</f>
        <v>307</v>
      </c>
      <c r="J7" s="47"/>
      <c r="K7" s="51" t="s">
        <v>54</v>
      </c>
      <c r="L7" s="48"/>
      <c r="M7" s="48"/>
      <c r="N7" s="48"/>
      <c r="O7" s="48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 spans="1:26" ht="14.25" customHeight="1">
      <c r="A8" s="47"/>
      <c r="B8" s="47"/>
      <c r="C8" s="51"/>
      <c r="D8" s="48"/>
      <c r="E8" s="48"/>
      <c r="F8" s="48"/>
      <c r="G8" s="48"/>
      <c r="H8" s="45"/>
      <c r="I8" s="47"/>
      <c r="J8" s="47"/>
      <c r="K8" s="47"/>
      <c r="L8" s="48"/>
      <c r="M8" s="48"/>
      <c r="N8" s="48"/>
      <c r="O8" s="48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 spans="1:26" ht="32.4" customHeight="1">
      <c r="A9" s="50">
        <f>SUM(DATA!F16:H16)</f>
        <v>2200000</v>
      </c>
      <c r="B9" s="47"/>
      <c r="C9" s="51" t="s">
        <v>55</v>
      </c>
      <c r="D9" s="48"/>
      <c r="E9" s="48"/>
      <c r="F9" s="48"/>
      <c r="G9" s="48"/>
      <c r="H9" s="45"/>
      <c r="I9" s="50">
        <f>SUM(DATA!O16:Q16)</f>
        <v>350</v>
      </c>
      <c r="J9" s="47"/>
      <c r="K9" s="51" t="s">
        <v>56</v>
      </c>
      <c r="L9" s="48"/>
      <c r="M9" s="48"/>
      <c r="N9" s="48"/>
      <c r="O9" s="48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 spans="1:26" ht="14.25" customHeight="1">
      <c r="A10" s="47"/>
      <c r="B10" s="47"/>
      <c r="C10" s="51"/>
      <c r="D10" s="48"/>
      <c r="E10" s="48"/>
      <c r="F10" s="48"/>
      <c r="G10" s="48"/>
      <c r="H10" s="45"/>
      <c r="I10" s="47"/>
      <c r="J10" s="47"/>
      <c r="K10" s="51"/>
      <c r="L10" s="48"/>
      <c r="M10" s="48"/>
      <c r="N10" s="48"/>
      <c r="O10" s="48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 spans="1:26" ht="31.8" customHeight="1">
      <c r="A11" s="53">
        <f>A7/A9</f>
        <v>1.0665909090909091</v>
      </c>
      <c r="B11" s="47"/>
      <c r="C11" s="51" t="s">
        <v>57</v>
      </c>
      <c r="D11" s="48"/>
      <c r="E11" s="48"/>
      <c r="F11" s="48"/>
      <c r="G11" s="48"/>
      <c r="H11" s="45"/>
      <c r="I11" s="53">
        <f>I7/I9</f>
        <v>0.87714285714285711</v>
      </c>
      <c r="J11" s="47"/>
      <c r="K11" s="51" t="s">
        <v>57</v>
      </c>
      <c r="L11" s="48"/>
      <c r="M11" s="48"/>
      <c r="N11" s="48"/>
      <c r="O11" s="48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 spans="1:26" ht="14.25" customHeight="1">
      <c r="A12" s="48"/>
      <c r="B12" s="48"/>
      <c r="C12" s="54"/>
      <c r="D12" s="48"/>
      <c r="E12" s="48"/>
      <c r="F12" s="48"/>
      <c r="G12" s="48"/>
      <c r="H12" s="45"/>
      <c r="I12" s="48"/>
      <c r="J12" s="48"/>
      <c r="K12" s="48"/>
      <c r="L12" s="48"/>
      <c r="M12" s="48"/>
      <c r="N12" s="48"/>
      <c r="O12" s="48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 spans="1:26" ht="14.25" customHeight="1">
      <c r="A13" s="48"/>
      <c r="B13" s="48"/>
      <c r="C13" s="48"/>
      <c r="D13" s="48"/>
      <c r="E13" s="48"/>
      <c r="F13" s="48"/>
      <c r="G13" s="48"/>
      <c r="H13" s="45"/>
      <c r="I13" s="48"/>
      <c r="J13" s="48"/>
      <c r="K13" s="48"/>
      <c r="L13" s="48"/>
      <c r="M13" s="48"/>
      <c r="N13" s="48"/>
      <c r="O13" s="48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 spans="1:26" ht="14.25" customHeight="1">
      <c r="A14" s="48"/>
      <c r="B14" s="48"/>
      <c r="C14" s="48"/>
      <c r="D14" s="48"/>
      <c r="E14" s="48"/>
      <c r="F14" s="48"/>
      <c r="G14" s="48"/>
      <c r="H14" s="45"/>
      <c r="I14" s="48"/>
      <c r="J14" s="48"/>
      <c r="K14" s="48"/>
      <c r="L14" s="48"/>
      <c r="M14" s="48"/>
      <c r="N14" s="48"/>
      <c r="O14" s="48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 spans="1:26" ht="14.25" customHeight="1">
      <c r="A15" s="48"/>
      <c r="B15" s="48"/>
      <c r="C15" s="48"/>
      <c r="D15" s="48"/>
      <c r="E15" s="48"/>
      <c r="F15" s="48"/>
      <c r="G15" s="48"/>
      <c r="H15" s="45"/>
      <c r="I15" s="48"/>
      <c r="J15" s="48"/>
      <c r="K15" s="48"/>
      <c r="L15" s="48"/>
      <c r="M15" s="48"/>
      <c r="N15" s="48"/>
      <c r="O15" s="48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 spans="1:26" ht="35.25" customHeight="1">
      <c r="A16" s="48"/>
      <c r="B16" s="48"/>
      <c r="C16" s="48"/>
      <c r="D16" s="48"/>
      <c r="E16" s="48"/>
      <c r="F16" s="48"/>
      <c r="G16" s="48"/>
      <c r="H16" s="45"/>
      <c r="I16" s="48"/>
      <c r="J16" s="48"/>
      <c r="K16" s="48"/>
      <c r="L16" s="48"/>
      <c r="M16" s="48"/>
      <c r="N16" s="48"/>
      <c r="O16" s="48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 spans="1:26" ht="14.25" customHeight="1">
      <c r="A17" s="45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 spans="1:26" ht="14.25" customHeight="1">
      <c r="A18" s="68" t="s">
        <v>58</v>
      </c>
      <c r="B18" s="69"/>
      <c r="C18" s="69"/>
      <c r="D18" s="69"/>
      <c r="E18" s="69"/>
      <c r="F18" s="69"/>
      <c r="G18" s="70"/>
      <c r="H18" s="45"/>
      <c r="I18" s="74" t="s">
        <v>59</v>
      </c>
      <c r="J18" s="69"/>
      <c r="K18" s="69"/>
      <c r="L18" s="69"/>
      <c r="M18" s="69"/>
      <c r="N18" s="69"/>
      <c r="O18" s="70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 spans="1:26" ht="14.25" customHeight="1">
      <c r="A19" s="71"/>
      <c r="B19" s="72"/>
      <c r="C19" s="72"/>
      <c r="D19" s="72"/>
      <c r="E19" s="72"/>
      <c r="F19" s="72"/>
      <c r="G19" s="73"/>
      <c r="H19" s="45"/>
      <c r="I19" s="71"/>
      <c r="J19" s="72"/>
      <c r="K19" s="72"/>
      <c r="L19" s="72"/>
      <c r="M19" s="72"/>
      <c r="N19" s="72"/>
      <c r="O19" s="73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 spans="1:26" ht="14.25" customHeight="1">
      <c r="A20" s="47"/>
      <c r="B20" s="47"/>
      <c r="C20" s="47"/>
      <c r="D20" s="48"/>
      <c r="E20" s="48"/>
      <c r="F20" s="48"/>
      <c r="G20" s="48"/>
      <c r="H20" s="45"/>
      <c r="I20" s="47"/>
      <c r="J20" s="47"/>
      <c r="K20" s="47"/>
      <c r="L20" s="48"/>
      <c r="M20" s="48"/>
      <c r="N20" s="48"/>
      <c r="O20" s="48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 spans="1:26" ht="36" customHeight="1">
      <c r="A21" s="77" t="s">
        <v>60</v>
      </c>
      <c r="B21" s="47"/>
      <c r="C21" s="47"/>
      <c r="D21" s="48"/>
      <c r="E21" s="48"/>
      <c r="F21" s="48"/>
      <c r="G21" s="48"/>
      <c r="H21" s="45"/>
      <c r="I21" s="76" t="s">
        <v>61</v>
      </c>
      <c r="J21" s="47"/>
      <c r="K21" s="47"/>
      <c r="L21" s="48"/>
      <c r="M21" s="48"/>
      <c r="N21" s="48"/>
      <c r="O21" s="48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 spans="1:26" ht="14.25" customHeight="1">
      <c r="A22" s="47"/>
      <c r="B22" s="47"/>
      <c r="C22" s="47"/>
      <c r="D22" s="48"/>
      <c r="E22" s="48"/>
      <c r="F22" s="48"/>
      <c r="G22" s="48"/>
      <c r="H22" s="45"/>
      <c r="I22" s="47"/>
      <c r="J22" s="47"/>
      <c r="K22" s="47"/>
      <c r="L22" s="48"/>
      <c r="M22" s="48"/>
      <c r="N22" s="48"/>
      <c r="O22" s="48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 spans="1:26" ht="28.2" customHeight="1">
      <c r="A23" s="50">
        <f>SUM(DATA!AJ16:AL16)/3</f>
        <v>12156.653333333334</v>
      </c>
      <c r="B23" s="47"/>
      <c r="C23" s="51" t="s">
        <v>62</v>
      </c>
      <c r="D23" s="48"/>
      <c r="E23" s="48"/>
      <c r="F23" s="48"/>
      <c r="G23" s="48"/>
      <c r="H23" s="45"/>
      <c r="I23" s="50">
        <f>SUM(DATA!AA16:AC16)/3</f>
        <v>2192.3433333333332</v>
      </c>
      <c r="J23" s="50"/>
      <c r="K23" s="51" t="s">
        <v>63</v>
      </c>
      <c r="L23" s="48"/>
      <c r="M23" s="48"/>
      <c r="N23" s="48"/>
      <c r="O23" s="48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 spans="1:26" ht="28.2" customHeight="1">
      <c r="A24" s="47"/>
      <c r="B24" s="47"/>
      <c r="C24" s="51"/>
      <c r="D24" s="48"/>
      <c r="E24" s="48"/>
      <c r="F24" s="48"/>
      <c r="G24" s="48"/>
      <c r="H24" s="45"/>
      <c r="I24" s="50"/>
      <c r="J24" s="50"/>
      <c r="K24" s="51"/>
      <c r="L24" s="48"/>
      <c r="M24" s="48"/>
      <c r="N24" s="48"/>
      <c r="O24" s="48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 spans="1:26" ht="24" customHeight="1">
      <c r="A25" s="50">
        <f>SUM(DATA!AP16:AR16)/3</f>
        <v>12500</v>
      </c>
      <c r="B25" s="47"/>
      <c r="C25" s="51" t="s">
        <v>64</v>
      </c>
      <c r="D25" s="48"/>
      <c r="E25" s="48"/>
      <c r="F25" s="48"/>
      <c r="G25" s="48"/>
      <c r="H25" s="45"/>
      <c r="I25" s="50">
        <f>SUM(DATA!AD16:AF16)/3</f>
        <v>1750</v>
      </c>
      <c r="J25" s="50"/>
      <c r="K25" s="51" t="s">
        <v>65</v>
      </c>
      <c r="L25" s="48"/>
      <c r="M25" s="48"/>
      <c r="N25" s="48"/>
      <c r="O25" s="48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 spans="1:26" ht="24" customHeight="1">
      <c r="A26" s="47"/>
      <c r="B26" s="47"/>
      <c r="C26" s="51"/>
      <c r="D26" s="48"/>
      <c r="E26" s="48"/>
      <c r="F26" s="48"/>
      <c r="G26" s="48"/>
      <c r="H26" s="45"/>
      <c r="I26" s="50"/>
      <c r="J26" s="50"/>
      <c r="K26" s="51"/>
      <c r="L26" s="48"/>
      <c r="M26" s="48"/>
      <c r="N26" s="48"/>
      <c r="O26" s="48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 spans="1:26" ht="24" customHeight="1">
      <c r="A27" s="53">
        <f>A23/A25</f>
        <v>0.9725322666666667</v>
      </c>
      <c r="B27" s="47"/>
      <c r="C27" s="51" t="s">
        <v>57</v>
      </c>
      <c r="D27" s="48"/>
      <c r="E27" s="48"/>
      <c r="F27" s="48"/>
      <c r="G27" s="48"/>
      <c r="H27" s="45"/>
      <c r="I27" s="53">
        <f>I23/I25</f>
        <v>1.2527676190476189</v>
      </c>
      <c r="J27" s="50"/>
      <c r="K27" s="51" t="s">
        <v>57</v>
      </c>
      <c r="L27" s="48"/>
      <c r="M27" s="48"/>
      <c r="N27" s="48"/>
      <c r="O27" s="48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1:26" ht="14.25" customHeight="1">
      <c r="A28" s="48"/>
      <c r="B28" s="48"/>
      <c r="C28" s="48"/>
      <c r="D28" s="48"/>
      <c r="E28" s="48"/>
      <c r="F28" s="48"/>
      <c r="G28" s="48"/>
      <c r="H28" s="45"/>
      <c r="I28" s="48"/>
      <c r="J28" s="48"/>
      <c r="K28" s="48"/>
      <c r="L28" s="48"/>
      <c r="M28" s="48"/>
      <c r="N28" s="48"/>
      <c r="O28" s="48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 spans="1:26" ht="14.25" customHeight="1">
      <c r="A29" s="48"/>
      <c r="B29" s="48"/>
      <c r="C29" s="48"/>
      <c r="D29" s="48"/>
      <c r="E29" s="48"/>
      <c r="F29" s="48"/>
      <c r="G29" s="48"/>
      <c r="H29" s="45"/>
      <c r="I29" s="48"/>
      <c r="J29" s="48"/>
      <c r="K29" s="48"/>
      <c r="L29" s="48"/>
      <c r="M29" s="48"/>
      <c r="N29" s="48"/>
      <c r="O29" s="48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 spans="1:26" ht="14.25" customHeight="1">
      <c r="A30" s="48"/>
      <c r="B30" s="48"/>
      <c r="C30" s="48"/>
      <c r="D30" s="48"/>
      <c r="E30" s="48"/>
      <c r="F30" s="48"/>
      <c r="G30" s="48"/>
      <c r="H30" s="45"/>
      <c r="I30" s="48"/>
      <c r="J30" s="48"/>
      <c r="K30" s="48"/>
      <c r="L30" s="48"/>
      <c r="M30" s="48"/>
      <c r="N30" s="48"/>
      <c r="O30" s="48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spans="1:26" ht="14.25" customHeight="1">
      <c r="A31" s="48"/>
      <c r="B31" s="48"/>
      <c r="C31" s="48"/>
      <c r="D31" s="48"/>
      <c r="E31" s="48"/>
      <c r="F31" s="48"/>
      <c r="G31" s="48"/>
      <c r="H31" s="45"/>
      <c r="I31" s="48"/>
      <c r="J31" s="48"/>
      <c r="K31" s="48"/>
      <c r="L31" s="48"/>
      <c r="M31" s="48"/>
      <c r="N31" s="48"/>
      <c r="O31" s="48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1:26" ht="53.25" customHeight="1">
      <c r="A32" s="48"/>
      <c r="B32" s="48"/>
      <c r="C32" s="48"/>
      <c r="D32" s="48"/>
      <c r="E32" s="48"/>
      <c r="F32" s="48"/>
      <c r="G32" s="48"/>
      <c r="H32" s="45"/>
      <c r="I32" s="48"/>
      <c r="J32" s="48"/>
      <c r="K32" s="48"/>
      <c r="L32" s="48"/>
      <c r="M32" s="48"/>
      <c r="N32" s="48"/>
      <c r="O32" s="48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spans="1:26" ht="14.25" customHeight="1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spans="1:26" ht="14.25" customHeight="1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spans="1:26" ht="14.25" customHeight="1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spans="1:26" ht="14.25" customHeight="1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spans="1:26" ht="14.25" customHeight="1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spans="1:26" ht="14.25" customHeight="1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spans="1:26" ht="14.25" customHeight="1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spans="1:26" ht="14.25" customHeight="1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spans="1:26" ht="14.25" customHeight="1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spans="1:26" ht="14.25" customHeight="1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 spans="1:26" ht="14.25" customHeight="1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 spans="1:26" ht="14.25" customHeight="1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 spans="1:26" ht="14.25" customHeight="1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 spans="1:26" ht="14.25" customHeight="1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 spans="1:26" ht="14.25" customHeight="1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 spans="1:26" ht="14.25" customHeight="1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</row>
    <row r="49" spans="1:26" ht="14.25" customHeight="1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 spans="1:26" ht="14.25" customHeight="1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 spans="1:26" ht="14.25" customHeight="1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 spans="1:26" ht="14.25" customHeight="1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 spans="1:26" ht="14.25" customHeight="1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 spans="1:26" ht="14.25" customHeight="1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r="55" spans="1:26" ht="14.25" customHeight="1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 spans="1:26" ht="14.25" customHeight="1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 spans="1:26" ht="14.25" customHeight="1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 spans="1:26" ht="14.25" customHeight="1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 spans="1:26" ht="14.25" customHeight="1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 spans="1:26" ht="14.25" customHeight="1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 spans="1:26" ht="14.25" customHeight="1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 spans="1:26" ht="14.25" customHeight="1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r="63" spans="1:26" ht="14.25" customHeight="1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 spans="1:26" ht="14.25" customHeight="1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 spans="1:26" ht="14.25" customHeight="1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</row>
    <row r="66" spans="1:26" ht="14.25" customHeight="1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r="67" spans="1:26" ht="14.25" customHeight="1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</row>
    <row r="68" spans="1:26" ht="14.25" customHeight="1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</row>
    <row r="69" spans="1:26" ht="14.25" customHeight="1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 spans="1:26" ht="14.25" customHeight="1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 spans="1:26" ht="14.25" customHeight="1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 spans="1:26" ht="14.25" customHeight="1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r="73" spans="1:26" ht="14.25" customHeight="1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 spans="1:26" ht="14.25" customHeight="1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 spans="1:26" ht="14.25" customHeight="1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 spans="1:26" ht="14.25" customHeight="1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 spans="1:26" ht="14.25" customHeight="1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 spans="1:26" ht="14.25" customHeight="1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 spans="1:26" ht="14.25" customHeight="1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 spans="1:26" ht="14.25" customHeight="1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 spans="1:26" ht="14.25" customHeight="1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 spans="1:26" ht="14.25" customHeight="1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 spans="1:26" ht="14.25" customHeight="1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 spans="1:26" ht="14.25" customHeight="1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 spans="1:26" ht="14.25" customHeight="1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 spans="1:26" ht="14.25" customHeight="1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 spans="1:26" ht="14.25" customHeight="1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 spans="1:26" ht="14.25" customHeight="1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 spans="1:26" ht="14.25" customHeight="1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 spans="1:26" ht="14.25" customHeight="1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 spans="1:26" ht="14.25" customHeight="1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 spans="1:26" ht="14.25" customHeight="1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 spans="1:26" ht="14.25" customHeight="1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 spans="1:26" ht="14.25" customHeight="1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</row>
    <row r="95" spans="1:26" ht="14.25" customHeight="1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 spans="1:26" ht="14.25" customHeight="1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 spans="1:26" ht="14.25" customHeight="1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r="98" spans="1:26" ht="14.25" customHeight="1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</row>
    <row r="99" spans="1:26" ht="14.25" customHeight="1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</row>
    <row r="100" spans="1:26" ht="14.25" customHeight="1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</row>
    <row r="101" spans="1:26" ht="14.25" customHeight="1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</row>
    <row r="102" spans="1:26" ht="14.25" customHeight="1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</row>
    <row r="103" spans="1:26" ht="14.25" customHeight="1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</row>
    <row r="104" spans="1:26" ht="14.25" customHeight="1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</row>
    <row r="105" spans="1:26" ht="14.25" customHeight="1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</row>
    <row r="106" spans="1:26" ht="14.25" customHeight="1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r="107" spans="1:26" ht="14.25" customHeight="1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</row>
    <row r="108" spans="1:26" ht="14.25" customHeight="1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</row>
    <row r="109" spans="1:26" ht="14.25" customHeight="1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</row>
    <row r="110" spans="1:26" ht="14.25" customHeight="1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</row>
    <row r="111" spans="1:26" ht="14.25" customHeight="1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</row>
    <row r="112" spans="1:26" ht="14.25" customHeight="1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</row>
    <row r="113" spans="1:26" ht="14.25" customHeight="1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</row>
    <row r="114" spans="1:26" ht="14.25" customHeight="1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 spans="1:26" ht="14.25" customHeight="1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</row>
    <row r="116" spans="1:26" ht="14.25" customHeight="1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</row>
    <row r="117" spans="1:26" ht="14.25" customHeight="1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</row>
    <row r="118" spans="1:26" ht="14.25" customHeight="1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r="119" spans="1:26" ht="14.25" customHeight="1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 spans="1:26" ht="14.25" customHeight="1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 spans="1:26" ht="14.25" customHeight="1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 spans="1:26" ht="14.25" customHeight="1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 spans="1:26" ht="14.25" customHeight="1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 spans="1:26" ht="14.25" customHeight="1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r="125" spans="1:26" ht="14.25" customHeight="1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</row>
    <row r="126" spans="1:26" ht="14.25" customHeight="1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r="127" spans="1:26" ht="14.25" customHeight="1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 spans="1:26" ht="14.25" customHeight="1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</row>
    <row r="129" spans="1:26" ht="14.25" customHeight="1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</row>
    <row r="130" spans="1:26" ht="14.25" customHeight="1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r="131" spans="1:26" ht="14.25" customHeight="1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r="132" spans="1:26" ht="14.25" customHeight="1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</row>
    <row r="133" spans="1:26" ht="14.25" customHeight="1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 spans="1:26" ht="14.25" customHeight="1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r="135" spans="1:26" ht="14.25" customHeight="1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r="136" spans="1:26" ht="14.25" customHeight="1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</row>
    <row r="137" spans="1:26" ht="14.25" customHeight="1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</row>
    <row r="138" spans="1:26" ht="14.25" customHeight="1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</row>
    <row r="139" spans="1:26" ht="14.25" customHeight="1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</row>
    <row r="140" spans="1:26" ht="14.25" customHeight="1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</row>
    <row r="141" spans="1:26" ht="14.25" customHeight="1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</row>
    <row r="142" spans="1:26" ht="14.25" customHeight="1">
      <c r="A142" s="45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r="143" spans="1:26" ht="14.25" customHeight="1">
      <c r="A143" s="45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</row>
    <row r="144" spans="1:26" ht="14.25" customHeight="1">
      <c r="A144" s="45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</row>
    <row r="145" spans="1:26" ht="14.25" customHeight="1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</row>
    <row r="146" spans="1:26" ht="14.25" customHeight="1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</row>
    <row r="147" spans="1:26" ht="14.25" customHeight="1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</row>
    <row r="148" spans="1:26" ht="14.25" customHeight="1">
      <c r="A148" s="45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</row>
    <row r="149" spans="1:26" ht="14.25" customHeight="1">
      <c r="A149" s="45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</row>
    <row r="150" spans="1:26" ht="14.25" customHeight="1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</row>
    <row r="151" spans="1:26" ht="14.25" customHeight="1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</row>
    <row r="152" spans="1:26" ht="14.25" customHeight="1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</row>
    <row r="153" spans="1:26" ht="14.25" customHeight="1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</row>
    <row r="154" spans="1:26" ht="14.25" customHeight="1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</row>
    <row r="155" spans="1:26" ht="14.25" customHeight="1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</row>
    <row r="156" spans="1:26" ht="14.25" customHeight="1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</row>
    <row r="157" spans="1:26" ht="14.25" customHeight="1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</row>
    <row r="158" spans="1:26" ht="14.25" customHeight="1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</row>
    <row r="159" spans="1:26" ht="14.25" customHeight="1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</row>
    <row r="160" spans="1:26" ht="14.25" customHeight="1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</row>
    <row r="161" spans="1:26" ht="14.25" customHeight="1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</row>
    <row r="162" spans="1:26" ht="14.25" customHeight="1">
      <c r="A162" s="45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 spans="1:26" ht="14.25" customHeight="1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</row>
    <row r="164" spans="1:26" ht="14.25" customHeight="1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</row>
    <row r="165" spans="1:26" ht="14.25" customHeight="1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</row>
    <row r="166" spans="1:26" ht="14.25" customHeight="1">
      <c r="A166" s="45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</row>
    <row r="167" spans="1:26" ht="14.25" customHeight="1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</row>
    <row r="168" spans="1:26" ht="14.25" customHeight="1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</row>
    <row r="169" spans="1:26" ht="14.25" customHeight="1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</row>
    <row r="170" spans="1:26" ht="14.25" customHeight="1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</row>
    <row r="171" spans="1:26" ht="14.25" customHeight="1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</row>
    <row r="172" spans="1:26" ht="14.25" customHeight="1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</row>
    <row r="173" spans="1:26" ht="14.25" customHeight="1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</row>
    <row r="174" spans="1:26" ht="14.25" customHeight="1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</row>
    <row r="175" spans="1:26" ht="14.25" customHeight="1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</row>
    <row r="176" spans="1:26" ht="14.25" customHeight="1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</row>
    <row r="177" spans="1:26" ht="14.25" customHeight="1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</row>
    <row r="178" spans="1:26" ht="14.25" customHeight="1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</row>
    <row r="179" spans="1:26" ht="14.25" customHeight="1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</row>
    <row r="180" spans="1:26" ht="14.25" customHeight="1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</row>
    <row r="181" spans="1:26" ht="14.25" customHeight="1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</row>
    <row r="182" spans="1:26" ht="14.25" customHeight="1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</row>
    <row r="183" spans="1:26" ht="14.25" customHeight="1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</row>
    <row r="184" spans="1:26" ht="14.25" customHeight="1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</row>
    <row r="185" spans="1:26" ht="14.25" customHeight="1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</row>
    <row r="186" spans="1:26" ht="14.25" customHeight="1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</row>
    <row r="187" spans="1:26" ht="14.25" customHeight="1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</row>
    <row r="188" spans="1:26" ht="14.25" customHeight="1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</row>
    <row r="189" spans="1:26" ht="14.25" customHeight="1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</row>
    <row r="190" spans="1:26" ht="14.25" customHeight="1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</row>
    <row r="191" spans="1:26" ht="14.25" customHeight="1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</row>
    <row r="192" spans="1:26" ht="14.25" customHeight="1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</row>
    <row r="193" spans="1:26" ht="14.25" customHeight="1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</row>
    <row r="194" spans="1:26" ht="14.25" customHeight="1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</row>
    <row r="195" spans="1:26" ht="14.25" customHeight="1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</row>
    <row r="196" spans="1:26" ht="14.25" customHeight="1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</row>
    <row r="197" spans="1:26" ht="14.25" customHeight="1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</row>
    <row r="198" spans="1:26" ht="14.25" customHeight="1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</row>
    <row r="199" spans="1:26" ht="14.25" customHeight="1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</row>
    <row r="200" spans="1:26" ht="14.25" customHeight="1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</row>
    <row r="201" spans="1:26" ht="14.25" customHeight="1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</row>
    <row r="202" spans="1:26" ht="14.25" customHeight="1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</row>
    <row r="203" spans="1:26" ht="14.25" customHeight="1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</row>
    <row r="204" spans="1:26" ht="14.25" customHeight="1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</row>
    <row r="205" spans="1:26" ht="14.25" customHeight="1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</row>
    <row r="206" spans="1:26" ht="14.25" customHeight="1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</row>
    <row r="207" spans="1:26" ht="14.25" customHeight="1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</row>
    <row r="208" spans="1:26" ht="14.25" customHeight="1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</row>
    <row r="209" spans="1:26" ht="14.25" customHeight="1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</row>
    <row r="210" spans="1:26" ht="14.25" customHeight="1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</row>
    <row r="211" spans="1:26" ht="14.25" customHeight="1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</row>
    <row r="212" spans="1:26" ht="14.25" customHeight="1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</row>
    <row r="213" spans="1:26" ht="14.25" customHeight="1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</row>
    <row r="214" spans="1:26" ht="14.25" customHeight="1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</row>
    <row r="215" spans="1:26" ht="14.25" customHeight="1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</row>
    <row r="216" spans="1:26" ht="14.25" customHeight="1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</row>
    <row r="217" spans="1:26" ht="14.25" customHeight="1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</row>
    <row r="218" spans="1:26" ht="14.25" customHeight="1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</row>
    <row r="219" spans="1:26" ht="14.25" customHeight="1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</row>
    <row r="220" spans="1:26" ht="14.25" customHeight="1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</row>
    <row r="221" spans="1:26" ht="14.25" customHeight="1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</row>
    <row r="222" spans="1:26" ht="14.25" customHeight="1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</row>
    <row r="223" spans="1:26" ht="14.25" customHeight="1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</row>
    <row r="224" spans="1:26" ht="14.25" customHeight="1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</row>
    <row r="225" spans="1:26" ht="14.25" customHeight="1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</row>
    <row r="226" spans="1:26" ht="14.25" customHeight="1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</row>
    <row r="227" spans="1:26" ht="14.25" customHeight="1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</row>
    <row r="228" spans="1:26" ht="14.25" customHeight="1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</row>
    <row r="229" spans="1:26" ht="14.25" customHeight="1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</row>
    <row r="230" spans="1:26" ht="14.25" customHeight="1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</row>
    <row r="231" spans="1:26" ht="14.25" customHeight="1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</row>
    <row r="232" spans="1:26" ht="14.25" customHeight="1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</row>
    <row r="233" spans="1:26" ht="14.25" customHeight="1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</row>
    <row r="234" spans="1:26" ht="14.25" customHeight="1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</row>
    <row r="235" spans="1:26" ht="14.25" customHeight="1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</row>
    <row r="236" spans="1:26" ht="14.25" customHeight="1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</row>
    <row r="237" spans="1:26" ht="14.25" customHeight="1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</row>
    <row r="238" spans="1:26" ht="14.25" customHeight="1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</row>
    <row r="239" spans="1:26" ht="14.25" customHeight="1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</row>
    <row r="240" spans="1:26" ht="14.25" customHeight="1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</row>
    <row r="241" spans="1:26" ht="14.25" customHeight="1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</row>
    <row r="242" spans="1:26" ht="14.25" customHeight="1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</row>
    <row r="243" spans="1:26" ht="14.25" customHeight="1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</row>
    <row r="244" spans="1:26" ht="14.25" customHeight="1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</row>
    <row r="245" spans="1:26" ht="14.25" customHeight="1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</row>
    <row r="246" spans="1:26" ht="14.25" customHeight="1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</row>
    <row r="247" spans="1:26" ht="14.25" customHeight="1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</row>
    <row r="248" spans="1:26" ht="14.25" customHeight="1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</row>
    <row r="249" spans="1:26" ht="14.25" customHeight="1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</row>
    <row r="250" spans="1:26" ht="14.25" customHeight="1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</row>
    <row r="251" spans="1:26" ht="14.25" customHeight="1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</row>
    <row r="252" spans="1:26" ht="14.25" customHeight="1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</row>
    <row r="253" spans="1:26" ht="14.25" customHeight="1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</row>
    <row r="254" spans="1:26" ht="14.25" customHeight="1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</row>
    <row r="255" spans="1:26" ht="14.25" customHeight="1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</row>
    <row r="256" spans="1:26" ht="14.25" customHeight="1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</row>
    <row r="257" spans="1:26" ht="14.25" customHeight="1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</row>
    <row r="258" spans="1:26" ht="14.25" customHeight="1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</row>
    <row r="259" spans="1:26" ht="14.25" customHeight="1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</row>
    <row r="260" spans="1:26" ht="14.25" customHeight="1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</row>
    <row r="261" spans="1:26" ht="14.25" customHeight="1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</row>
    <row r="262" spans="1:26" ht="14.25" customHeight="1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</row>
    <row r="263" spans="1:26" ht="14.25" customHeight="1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</row>
    <row r="264" spans="1:26" ht="14.25" customHeight="1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</row>
    <row r="265" spans="1:26" ht="14.25" customHeight="1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</row>
    <row r="266" spans="1:26" ht="14.25" customHeight="1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</row>
    <row r="267" spans="1:26" ht="14.25" customHeight="1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</row>
    <row r="268" spans="1:26" ht="14.25" customHeight="1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</row>
    <row r="269" spans="1:26" ht="14.25" customHeight="1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</row>
    <row r="270" spans="1:26" ht="14.25" customHeight="1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</row>
    <row r="271" spans="1:26" ht="14.25" customHeight="1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</row>
    <row r="272" spans="1:26" ht="14.25" customHeight="1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</row>
    <row r="273" spans="1:26" ht="14.25" customHeight="1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</row>
    <row r="274" spans="1:26" ht="14.25" customHeight="1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</row>
    <row r="275" spans="1:26" ht="14.25" customHeight="1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</row>
    <row r="276" spans="1:26" ht="14.25" customHeight="1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</row>
    <row r="277" spans="1:26" ht="14.25" customHeight="1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</row>
    <row r="278" spans="1:26" ht="14.25" customHeight="1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</row>
    <row r="279" spans="1:26" ht="14.25" customHeight="1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</row>
    <row r="280" spans="1:26" ht="14.25" customHeight="1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</row>
    <row r="281" spans="1:26" ht="14.25" customHeight="1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</row>
    <row r="282" spans="1:26" ht="14.25" customHeight="1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</row>
    <row r="283" spans="1:26" ht="14.25" customHeight="1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</row>
    <row r="284" spans="1:26" ht="14.25" customHeight="1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</row>
    <row r="285" spans="1:26" ht="14.25" customHeight="1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</row>
    <row r="286" spans="1:26" ht="14.25" customHeight="1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</row>
    <row r="287" spans="1:26" ht="14.25" customHeight="1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</row>
    <row r="288" spans="1:26" ht="14.25" customHeight="1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</row>
    <row r="289" spans="1:26" ht="14.25" customHeight="1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</row>
    <row r="290" spans="1:26" ht="14.25" customHeight="1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</row>
    <row r="291" spans="1:26" ht="14.25" customHeight="1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</row>
    <row r="292" spans="1:26" ht="14.25" customHeight="1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</row>
    <row r="293" spans="1:26" ht="14.25" customHeight="1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</row>
    <row r="294" spans="1:26" ht="14.25" customHeight="1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</row>
    <row r="295" spans="1:26" ht="14.25" customHeight="1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</row>
    <row r="296" spans="1:26" ht="14.25" customHeight="1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</row>
    <row r="297" spans="1:26" ht="14.25" customHeight="1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</row>
    <row r="298" spans="1:26" ht="14.25" customHeight="1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</row>
    <row r="299" spans="1:26" ht="14.25" customHeight="1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</row>
    <row r="300" spans="1:26" ht="14.25" customHeight="1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</row>
    <row r="301" spans="1:26" ht="14.25" customHeight="1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</row>
    <row r="302" spans="1:26" ht="14.25" customHeight="1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</row>
    <row r="303" spans="1:26" ht="14.25" customHeight="1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</row>
    <row r="304" spans="1:26" ht="14.25" customHeight="1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</row>
    <row r="305" spans="1:26" ht="14.25" customHeight="1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</row>
    <row r="306" spans="1:26" ht="14.25" customHeight="1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</row>
    <row r="307" spans="1:26" ht="14.25" customHeight="1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</row>
    <row r="308" spans="1:26" ht="14.25" customHeight="1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</row>
    <row r="309" spans="1:26" ht="14.25" customHeight="1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</row>
    <row r="310" spans="1:26" ht="14.25" customHeight="1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</row>
    <row r="311" spans="1:26" ht="14.25" customHeight="1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</row>
    <row r="312" spans="1:26" ht="14.25" customHeight="1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</row>
    <row r="313" spans="1:26" ht="14.25" customHeight="1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</row>
    <row r="314" spans="1:26" ht="14.25" customHeight="1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</row>
    <row r="315" spans="1:26" ht="14.25" customHeight="1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</row>
    <row r="316" spans="1:26" ht="14.25" customHeight="1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</row>
    <row r="317" spans="1:26" ht="14.25" customHeight="1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</row>
    <row r="318" spans="1:26" ht="14.25" customHeight="1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</row>
    <row r="319" spans="1:26" ht="14.25" customHeight="1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</row>
    <row r="320" spans="1:26" ht="14.25" customHeight="1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</row>
    <row r="321" spans="1:26" ht="14.25" customHeight="1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</row>
    <row r="322" spans="1:26" ht="14.25" customHeight="1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</row>
    <row r="323" spans="1:26" ht="14.25" customHeight="1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</row>
    <row r="324" spans="1:26" ht="14.25" customHeight="1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</row>
    <row r="325" spans="1:26" ht="14.25" customHeight="1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</row>
    <row r="326" spans="1:26" ht="14.25" customHeight="1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</row>
    <row r="327" spans="1:26" ht="14.25" customHeight="1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</row>
    <row r="328" spans="1:26" ht="14.25" customHeight="1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</row>
    <row r="329" spans="1:26" ht="14.25" customHeight="1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</row>
    <row r="330" spans="1:26" ht="14.25" customHeight="1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</row>
    <row r="331" spans="1:26" ht="14.25" customHeight="1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</row>
    <row r="332" spans="1:26" ht="14.25" customHeight="1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</row>
    <row r="333" spans="1:26" ht="14.25" customHeight="1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</row>
    <row r="334" spans="1:26" ht="14.25" customHeight="1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</row>
    <row r="335" spans="1:26" ht="14.25" customHeight="1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</row>
    <row r="336" spans="1:26" ht="14.25" customHeight="1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</row>
    <row r="337" spans="1:26" ht="14.25" customHeight="1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</row>
    <row r="338" spans="1:26" ht="14.25" customHeight="1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</row>
    <row r="339" spans="1:26" ht="14.25" customHeight="1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</row>
    <row r="340" spans="1:26" ht="14.25" customHeight="1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</row>
    <row r="341" spans="1:26" ht="14.25" customHeight="1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</row>
    <row r="342" spans="1:26" ht="14.25" customHeight="1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</row>
    <row r="343" spans="1:26" ht="14.25" customHeight="1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</row>
    <row r="344" spans="1:26" ht="14.25" customHeight="1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</row>
    <row r="345" spans="1:26" ht="14.25" customHeight="1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</row>
    <row r="346" spans="1:26" ht="14.25" customHeight="1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</row>
    <row r="347" spans="1:26" ht="14.25" customHeight="1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</row>
    <row r="348" spans="1:26" ht="14.25" customHeight="1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</row>
    <row r="349" spans="1:26" ht="14.25" customHeight="1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</row>
    <row r="350" spans="1:26" ht="14.25" customHeight="1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</row>
    <row r="351" spans="1:26" ht="14.25" customHeight="1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</row>
    <row r="352" spans="1:26" ht="14.25" customHeight="1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</row>
    <row r="353" spans="1:26" ht="14.25" customHeight="1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</row>
    <row r="354" spans="1:26" ht="14.25" customHeight="1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</row>
    <row r="355" spans="1:26" ht="14.25" customHeight="1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</row>
    <row r="356" spans="1:26" ht="14.25" customHeight="1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</row>
    <row r="357" spans="1:26" ht="14.25" customHeight="1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</row>
    <row r="358" spans="1:26" ht="14.25" customHeight="1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</row>
    <row r="359" spans="1:26" ht="14.25" customHeight="1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</row>
    <row r="360" spans="1:26" ht="14.25" customHeight="1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</row>
    <row r="361" spans="1:26" ht="14.25" customHeight="1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</row>
    <row r="362" spans="1:26" ht="14.25" customHeight="1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</row>
    <row r="363" spans="1:26" ht="14.25" customHeight="1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</row>
    <row r="364" spans="1:26" ht="14.25" customHeight="1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</row>
    <row r="365" spans="1:26" ht="14.25" customHeight="1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</row>
    <row r="366" spans="1:26" ht="14.25" customHeight="1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</row>
    <row r="367" spans="1:26" ht="14.25" customHeight="1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</row>
    <row r="368" spans="1:26" ht="14.25" customHeight="1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</row>
    <row r="369" spans="1:26" ht="14.25" customHeight="1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</row>
    <row r="370" spans="1:26" ht="14.25" customHeight="1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</row>
    <row r="371" spans="1:26" ht="14.25" customHeight="1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</row>
    <row r="372" spans="1:26" ht="14.25" customHeight="1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</row>
    <row r="373" spans="1:26" ht="14.25" customHeight="1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</row>
    <row r="374" spans="1:26" ht="14.25" customHeight="1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</row>
    <row r="375" spans="1:26" ht="14.25" customHeight="1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</row>
    <row r="376" spans="1:26" ht="14.25" customHeight="1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</row>
    <row r="377" spans="1:26" ht="14.25" customHeight="1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</row>
    <row r="378" spans="1:26" ht="14.25" customHeight="1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</row>
    <row r="379" spans="1:26" ht="14.25" customHeight="1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</row>
    <row r="380" spans="1:26" ht="14.25" customHeight="1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</row>
    <row r="381" spans="1:26" ht="14.25" customHeight="1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</row>
    <row r="382" spans="1:26" ht="14.25" customHeight="1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</row>
    <row r="383" spans="1:26" ht="14.25" customHeight="1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</row>
    <row r="384" spans="1:26" ht="14.25" customHeight="1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</row>
    <row r="385" spans="1:26" ht="14.25" customHeight="1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</row>
    <row r="386" spans="1:26" ht="14.25" customHeight="1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</row>
    <row r="387" spans="1:26" ht="14.25" customHeight="1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</row>
    <row r="388" spans="1:26" ht="14.25" customHeight="1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</row>
    <row r="389" spans="1:26" ht="14.25" customHeight="1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</row>
    <row r="390" spans="1:26" ht="14.25" customHeight="1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</row>
    <row r="391" spans="1:26" ht="14.25" customHeight="1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</row>
    <row r="392" spans="1:26" ht="14.25" customHeight="1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</row>
    <row r="393" spans="1:26" ht="14.25" customHeight="1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</row>
    <row r="394" spans="1:26" ht="14.25" customHeight="1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</row>
    <row r="395" spans="1:26" ht="14.25" customHeight="1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</row>
    <row r="396" spans="1:26" ht="14.25" customHeight="1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</row>
    <row r="397" spans="1:26" ht="14.25" customHeight="1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</row>
    <row r="398" spans="1:26" ht="14.25" customHeight="1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</row>
    <row r="399" spans="1:26" ht="14.25" customHeight="1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</row>
    <row r="400" spans="1:26" ht="14.25" customHeight="1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</row>
    <row r="401" spans="1:26" ht="14.25" customHeight="1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</row>
    <row r="402" spans="1:26" ht="14.25" customHeight="1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</row>
    <row r="403" spans="1:26" ht="14.25" customHeight="1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</row>
    <row r="404" spans="1:26" ht="14.25" customHeight="1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</row>
    <row r="405" spans="1:26" ht="14.25" customHeight="1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</row>
    <row r="406" spans="1:26" ht="14.25" customHeight="1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</row>
    <row r="407" spans="1:26" ht="14.25" customHeight="1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</row>
    <row r="408" spans="1:26" ht="14.25" customHeight="1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</row>
    <row r="409" spans="1:26" ht="14.25" customHeight="1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</row>
    <row r="410" spans="1:26" ht="14.25" customHeight="1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</row>
    <row r="411" spans="1:26" ht="14.25" customHeight="1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</row>
    <row r="412" spans="1:26" ht="14.25" customHeight="1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</row>
    <row r="413" spans="1:26" ht="14.25" customHeight="1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</row>
    <row r="414" spans="1:26" ht="14.25" customHeight="1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</row>
    <row r="415" spans="1:26" ht="14.25" customHeight="1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</row>
    <row r="416" spans="1:26" ht="14.25" customHeight="1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</row>
    <row r="417" spans="1:26" ht="14.25" customHeight="1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</row>
    <row r="418" spans="1:26" ht="14.25" customHeight="1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</row>
    <row r="419" spans="1:26" ht="14.25" customHeight="1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</row>
    <row r="420" spans="1:26" ht="14.25" customHeight="1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</row>
    <row r="421" spans="1:26" ht="14.25" customHeight="1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</row>
    <row r="422" spans="1:26" ht="14.25" customHeight="1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</row>
    <row r="423" spans="1:26" ht="14.25" customHeight="1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</row>
    <row r="424" spans="1:26" ht="14.25" customHeight="1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</row>
    <row r="425" spans="1:26" ht="14.25" customHeight="1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</row>
    <row r="426" spans="1:26" ht="14.25" customHeight="1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</row>
    <row r="427" spans="1:26" ht="14.25" customHeight="1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</row>
    <row r="428" spans="1:26" ht="14.25" customHeight="1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</row>
    <row r="429" spans="1:26" ht="14.25" customHeight="1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</row>
    <row r="430" spans="1:26" ht="14.25" customHeight="1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</row>
    <row r="431" spans="1:26" ht="14.25" customHeight="1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</row>
    <row r="432" spans="1:26" ht="14.25" customHeight="1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</row>
    <row r="433" spans="1:26" ht="14.25" customHeight="1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</row>
    <row r="434" spans="1:26" ht="14.25" customHeight="1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</row>
    <row r="435" spans="1:26" ht="14.25" customHeight="1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</row>
    <row r="436" spans="1:26" ht="14.25" customHeight="1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</row>
    <row r="437" spans="1:26" ht="14.25" customHeight="1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</row>
    <row r="438" spans="1:26" ht="14.25" customHeight="1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</row>
    <row r="439" spans="1:26" ht="14.25" customHeight="1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</row>
    <row r="440" spans="1:26" ht="14.25" customHeight="1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</row>
    <row r="441" spans="1:26" ht="14.25" customHeight="1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</row>
    <row r="442" spans="1:26" ht="14.25" customHeight="1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</row>
    <row r="443" spans="1:26" ht="14.25" customHeight="1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</row>
    <row r="444" spans="1:26" ht="14.25" customHeight="1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</row>
    <row r="445" spans="1:26" ht="14.25" customHeight="1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</row>
    <row r="446" spans="1:26" ht="14.25" customHeight="1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</row>
    <row r="447" spans="1:26" ht="14.25" customHeight="1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</row>
    <row r="448" spans="1:26" ht="14.25" customHeight="1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</row>
    <row r="449" spans="1:26" ht="14.25" customHeight="1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</row>
    <row r="450" spans="1:26" ht="14.25" customHeight="1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</row>
    <row r="451" spans="1:26" ht="14.25" customHeight="1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</row>
    <row r="452" spans="1:26" ht="14.25" customHeight="1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</row>
    <row r="453" spans="1:26" ht="14.25" customHeight="1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</row>
    <row r="454" spans="1:26" ht="14.25" customHeight="1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</row>
    <row r="455" spans="1:26" ht="14.25" customHeight="1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</row>
    <row r="456" spans="1:26" ht="14.25" customHeight="1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</row>
    <row r="457" spans="1:26" ht="14.25" customHeight="1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</row>
    <row r="458" spans="1:26" ht="14.25" customHeight="1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</row>
    <row r="459" spans="1:26" ht="14.25" customHeight="1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</row>
    <row r="460" spans="1:26" ht="14.25" customHeight="1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</row>
    <row r="461" spans="1:26" ht="14.25" customHeight="1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</row>
    <row r="462" spans="1:26" ht="14.25" customHeight="1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</row>
    <row r="463" spans="1:26" ht="14.25" customHeight="1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</row>
    <row r="464" spans="1:26" ht="14.25" customHeight="1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</row>
    <row r="465" spans="1:26" ht="14.25" customHeight="1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</row>
    <row r="466" spans="1:26" ht="14.25" customHeight="1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</row>
    <row r="467" spans="1:26" ht="14.25" customHeight="1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</row>
    <row r="468" spans="1:26" ht="14.25" customHeight="1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</row>
    <row r="469" spans="1:26" ht="14.25" customHeight="1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</row>
    <row r="470" spans="1:26" ht="14.25" customHeight="1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</row>
    <row r="471" spans="1:26" ht="14.25" customHeight="1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</row>
    <row r="472" spans="1:26" ht="14.25" customHeight="1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</row>
    <row r="473" spans="1:26" ht="14.25" customHeight="1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</row>
    <row r="474" spans="1:26" ht="14.25" customHeight="1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</row>
    <row r="475" spans="1:26" ht="14.25" customHeight="1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</row>
    <row r="476" spans="1:26" ht="14.25" customHeight="1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</row>
    <row r="477" spans="1:26" ht="14.25" customHeight="1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</row>
    <row r="478" spans="1:26" ht="14.25" customHeight="1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</row>
    <row r="479" spans="1:26" ht="14.25" customHeight="1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</row>
    <row r="480" spans="1:26" ht="14.25" customHeight="1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</row>
    <row r="481" spans="1:26" ht="14.25" customHeight="1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</row>
    <row r="482" spans="1:26" ht="14.25" customHeight="1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</row>
    <row r="483" spans="1:26" ht="14.25" customHeight="1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</row>
    <row r="484" spans="1:26" ht="14.25" customHeight="1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</row>
    <row r="485" spans="1:26" ht="14.25" customHeight="1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</row>
    <row r="486" spans="1:26" ht="14.25" customHeight="1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</row>
    <row r="487" spans="1:26" ht="14.25" customHeight="1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</row>
    <row r="488" spans="1:26" ht="14.25" customHeight="1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</row>
    <row r="489" spans="1:26" ht="14.25" customHeight="1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</row>
    <row r="490" spans="1:26" ht="14.25" customHeight="1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</row>
    <row r="491" spans="1:26" ht="14.25" customHeight="1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</row>
    <row r="492" spans="1:26" ht="14.25" customHeight="1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</row>
    <row r="493" spans="1:26" ht="14.25" customHeight="1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</row>
    <row r="494" spans="1:26" ht="14.25" customHeight="1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</row>
    <row r="495" spans="1:26" ht="14.25" customHeight="1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</row>
    <row r="496" spans="1:26" ht="14.25" customHeight="1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</row>
    <row r="497" spans="1:26" ht="14.25" customHeight="1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</row>
    <row r="498" spans="1:26" ht="14.25" customHeight="1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</row>
    <row r="499" spans="1:26" ht="14.25" customHeight="1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</row>
    <row r="500" spans="1:26" ht="14.25" customHeight="1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</row>
    <row r="501" spans="1:26" ht="14.25" customHeight="1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</row>
    <row r="502" spans="1:26" ht="14.25" customHeight="1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</row>
    <row r="503" spans="1:26" ht="14.25" customHeight="1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</row>
    <row r="504" spans="1:26" ht="14.25" customHeight="1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</row>
    <row r="505" spans="1:26" ht="14.25" customHeight="1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</row>
    <row r="506" spans="1:26" ht="14.25" customHeight="1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</row>
    <row r="507" spans="1:26" ht="14.25" customHeight="1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</row>
    <row r="508" spans="1:26" ht="14.25" customHeight="1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</row>
    <row r="509" spans="1:26" ht="14.25" customHeight="1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</row>
    <row r="510" spans="1:26" ht="14.25" customHeight="1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</row>
    <row r="511" spans="1:26" ht="14.25" customHeight="1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</row>
    <row r="512" spans="1:26" ht="14.25" customHeight="1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</row>
    <row r="513" spans="1:26" ht="14.25" customHeight="1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</row>
    <row r="514" spans="1:26" ht="14.25" customHeight="1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</row>
    <row r="515" spans="1:26" ht="14.25" customHeight="1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</row>
    <row r="516" spans="1:26" ht="14.25" customHeight="1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</row>
    <row r="517" spans="1:26" ht="14.25" customHeight="1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</row>
    <row r="518" spans="1:26" ht="14.25" customHeight="1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</row>
    <row r="519" spans="1:26" ht="14.25" customHeight="1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</row>
    <row r="520" spans="1:26" ht="14.25" customHeight="1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</row>
    <row r="521" spans="1:26" ht="14.25" customHeight="1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</row>
    <row r="522" spans="1:26" ht="14.25" customHeight="1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</row>
    <row r="523" spans="1:26" ht="14.25" customHeight="1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</row>
    <row r="524" spans="1:26" ht="14.25" customHeight="1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</row>
    <row r="525" spans="1:26" ht="14.25" customHeight="1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</row>
    <row r="526" spans="1:26" ht="14.25" customHeight="1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</row>
    <row r="527" spans="1:26" ht="14.25" customHeight="1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</row>
    <row r="528" spans="1:26" ht="14.25" customHeight="1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</row>
    <row r="529" spans="1:26" ht="14.25" customHeight="1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</row>
    <row r="530" spans="1:26" ht="14.25" customHeight="1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</row>
    <row r="531" spans="1:26" ht="14.25" customHeight="1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</row>
    <row r="532" spans="1:26" ht="14.25" customHeight="1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</row>
    <row r="533" spans="1:26" ht="14.25" customHeight="1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</row>
    <row r="534" spans="1:26" ht="14.25" customHeight="1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</row>
    <row r="535" spans="1:26" ht="14.25" customHeight="1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</row>
    <row r="536" spans="1:26" ht="14.25" customHeight="1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</row>
    <row r="537" spans="1:26" ht="14.25" customHeight="1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</row>
    <row r="538" spans="1:26" ht="14.25" customHeight="1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</row>
    <row r="539" spans="1:26" ht="14.25" customHeight="1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</row>
    <row r="540" spans="1:26" ht="14.25" customHeight="1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</row>
    <row r="541" spans="1:26" ht="14.25" customHeight="1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</row>
    <row r="542" spans="1:26" ht="14.25" customHeight="1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</row>
    <row r="543" spans="1:26" ht="14.25" customHeight="1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</row>
    <row r="544" spans="1:26" ht="14.25" customHeight="1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</row>
    <row r="545" spans="1:26" ht="14.25" customHeight="1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</row>
    <row r="546" spans="1:26" ht="14.25" customHeight="1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</row>
    <row r="547" spans="1:26" ht="14.25" customHeight="1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</row>
    <row r="548" spans="1:26" ht="14.25" customHeight="1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</row>
    <row r="549" spans="1:26" ht="14.25" customHeight="1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</row>
    <row r="550" spans="1:26" ht="14.25" customHeight="1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</row>
    <row r="551" spans="1:26" ht="14.25" customHeight="1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</row>
    <row r="552" spans="1:26" ht="14.25" customHeight="1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</row>
    <row r="553" spans="1:26" ht="14.25" customHeight="1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</row>
    <row r="554" spans="1:26" ht="14.25" customHeight="1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</row>
    <row r="555" spans="1:26" ht="14.25" customHeight="1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</row>
    <row r="556" spans="1:26" ht="14.25" customHeight="1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</row>
    <row r="557" spans="1:26" ht="14.25" customHeight="1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</row>
    <row r="558" spans="1:26" ht="14.25" customHeight="1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</row>
    <row r="559" spans="1:26" ht="14.25" customHeight="1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</row>
    <row r="560" spans="1:26" ht="14.25" customHeight="1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</row>
    <row r="561" spans="1:26" ht="14.25" customHeight="1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</row>
    <row r="562" spans="1:26" ht="14.25" customHeight="1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</row>
    <row r="563" spans="1:26" ht="14.25" customHeight="1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</row>
    <row r="564" spans="1:26" ht="14.25" customHeight="1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</row>
    <row r="565" spans="1:26" ht="14.25" customHeight="1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</row>
    <row r="566" spans="1:26" ht="14.25" customHeight="1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</row>
    <row r="567" spans="1:26" ht="14.25" customHeight="1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</row>
    <row r="568" spans="1:26" ht="14.25" customHeight="1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</row>
    <row r="569" spans="1:26" ht="14.25" customHeight="1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</row>
    <row r="570" spans="1:26" ht="14.25" customHeight="1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</row>
    <row r="571" spans="1:26" ht="14.25" customHeight="1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</row>
    <row r="572" spans="1:26" ht="14.25" customHeight="1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</row>
    <row r="573" spans="1:26" ht="14.25" customHeight="1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</row>
    <row r="574" spans="1:26" ht="14.25" customHeight="1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</row>
    <row r="575" spans="1:26" ht="14.25" customHeight="1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</row>
    <row r="576" spans="1:26" ht="14.25" customHeight="1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</row>
    <row r="577" spans="1:26" ht="14.25" customHeight="1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</row>
    <row r="578" spans="1:26" ht="14.25" customHeight="1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</row>
    <row r="579" spans="1:26" ht="14.25" customHeight="1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</row>
    <row r="580" spans="1:26" ht="14.25" customHeight="1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</row>
    <row r="581" spans="1:26" ht="14.25" customHeight="1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</row>
    <row r="582" spans="1:26" ht="14.25" customHeight="1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</row>
    <row r="583" spans="1:26" ht="14.25" customHeight="1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</row>
    <row r="584" spans="1:26" ht="14.25" customHeight="1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</row>
    <row r="585" spans="1:26" ht="14.25" customHeight="1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</row>
    <row r="586" spans="1:26" ht="14.25" customHeight="1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</row>
    <row r="587" spans="1:26" ht="14.25" customHeight="1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</row>
    <row r="588" spans="1:26" ht="14.25" customHeight="1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</row>
    <row r="589" spans="1:26" ht="14.25" customHeight="1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</row>
    <row r="590" spans="1:26" ht="14.25" customHeight="1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</row>
    <row r="591" spans="1:26" ht="14.25" customHeight="1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</row>
    <row r="592" spans="1:26" ht="14.25" customHeight="1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</row>
    <row r="593" spans="1:26" ht="14.25" customHeight="1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</row>
    <row r="594" spans="1:26" ht="14.25" customHeight="1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</row>
    <row r="595" spans="1:26" ht="14.25" customHeight="1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</row>
    <row r="596" spans="1:26" ht="14.25" customHeight="1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</row>
    <row r="597" spans="1:26" ht="14.25" customHeight="1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</row>
    <row r="598" spans="1:26" ht="14.25" customHeight="1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</row>
    <row r="599" spans="1:26" ht="14.25" customHeight="1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</row>
    <row r="600" spans="1:26" ht="14.25" customHeight="1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</row>
    <row r="601" spans="1:26" ht="14.25" customHeight="1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</row>
    <row r="602" spans="1:26" ht="14.25" customHeight="1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</row>
    <row r="603" spans="1:26" ht="14.25" customHeight="1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</row>
    <row r="604" spans="1:26" ht="14.25" customHeight="1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</row>
    <row r="605" spans="1:26" ht="14.25" customHeight="1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</row>
    <row r="606" spans="1:26" ht="14.25" customHeight="1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</row>
    <row r="607" spans="1:26" ht="14.25" customHeight="1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</row>
    <row r="608" spans="1:26" ht="14.25" customHeight="1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</row>
    <row r="609" spans="1:26" ht="14.25" customHeight="1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</row>
    <row r="610" spans="1:26" ht="14.25" customHeight="1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</row>
    <row r="611" spans="1:26" ht="14.25" customHeight="1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</row>
    <row r="612" spans="1:26" ht="14.25" customHeight="1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</row>
    <row r="613" spans="1:26" ht="14.25" customHeight="1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</row>
    <row r="614" spans="1:26" ht="14.25" customHeight="1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</row>
    <row r="615" spans="1:26" ht="14.25" customHeight="1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</row>
    <row r="616" spans="1:26" ht="14.25" customHeight="1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</row>
    <row r="617" spans="1:26" ht="14.25" customHeight="1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</row>
    <row r="618" spans="1:26" ht="14.25" customHeight="1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</row>
    <row r="619" spans="1:26" ht="14.25" customHeight="1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</row>
    <row r="620" spans="1:26" ht="14.25" customHeight="1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</row>
    <row r="621" spans="1:26" ht="14.25" customHeight="1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</row>
    <row r="622" spans="1:26" ht="14.25" customHeight="1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</row>
    <row r="623" spans="1:26" ht="14.25" customHeight="1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</row>
    <row r="624" spans="1:26" ht="14.25" customHeight="1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</row>
    <row r="625" spans="1:26" ht="14.25" customHeight="1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</row>
    <row r="626" spans="1:26" ht="14.25" customHeight="1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</row>
    <row r="627" spans="1:26" ht="14.25" customHeight="1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</row>
    <row r="628" spans="1:26" ht="14.25" customHeight="1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</row>
    <row r="629" spans="1:26" ht="14.25" customHeight="1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</row>
    <row r="630" spans="1:26" ht="14.25" customHeight="1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</row>
    <row r="631" spans="1:26" ht="14.25" customHeight="1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</row>
    <row r="632" spans="1:26" ht="14.25" customHeight="1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</row>
    <row r="633" spans="1:26" ht="14.25" customHeight="1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</row>
    <row r="634" spans="1:26" ht="14.25" customHeight="1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</row>
    <row r="635" spans="1:26" ht="14.25" customHeight="1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</row>
    <row r="636" spans="1:26" ht="14.25" customHeight="1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</row>
    <row r="637" spans="1:26" ht="14.25" customHeight="1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</row>
    <row r="638" spans="1:26" ht="14.25" customHeight="1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</row>
    <row r="639" spans="1:26" ht="14.25" customHeight="1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</row>
    <row r="640" spans="1:26" ht="14.25" customHeight="1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</row>
    <row r="641" spans="1:26" ht="14.25" customHeight="1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</row>
    <row r="642" spans="1:26" ht="14.25" customHeight="1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</row>
    <row r="643" spans="1:26" ht="14.25" customHeight="1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</row>
    <row r="644" spans="1:26" ht="14.25" customHeight="1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</row>
    <row r="645" spans="1:26" ht="14.25" customHeight="1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</row>
    <row r="646" spans="1:26" ht="14.25" customHeight="1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</row>
    <row r="647" spans="1:26" ht="14.25" customHeight="1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</row>
    <row r="648" spans="1:26" ht="14.25" customHeight="1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</row>
    <row r="649" spans="1:26" ht="14.25" customHeight="1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</row>
    <row r="650" spans="1:26" ht="14.25" customHeight="1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</row>
    <row r="651" spans="1:26" ht="14.25" customHeight="1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</row>
    <row r="652" spans="1:26" ht="14.25" customHeight="1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</row>
    <row r="653" spans="1:26" ht="14.25" customHeight="1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</row>
    <row r="654" spans="1:26" ht="14.25" customHeight="1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</row>
    <row r="655" spans="1:26" ht="14.25" customHeight="1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</row>
    <row r="656" spans="1:26" ht="14.25" customHeight="1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</row>
    <row r="657" spans="1:26" ht="14.25" customHeight="1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</row>
    <row r="658" spans="1:26" ht="14.25" customHeight="1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</row>
    <row r="659" spans="1:26" ht="14.25" customHeight="1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</row>
    <row r="660" spans="1:26" ht="14.25" customHeight="1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</row>
    <row r="661" spans="1:26" ht="14.25" customHeight="1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</row>
    <row r="662" spans="1:26" ht="14.25" customHeight="1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</row>
    <row r="663" spans="1:26" ht="14.25" customHeight="1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</row>
    <row r="664" spans="1:26" ht="14.25" customHeight="1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</row>
    <row r="665" spans="1:26" ht="14.25" customHeight="1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</row>
    <row r="666" spans="1:26" ht="14.25" customHeight="1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</row>
    <row r="667" spans="1:26" ht="14.25" customHeight="1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</row>
    <row r="668" spans="1:26" ht="14.25" customHeight="1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</row>
    <row r="669" spans="1:26" ht="14.25" customHeight="1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</row>
    <row r="670" spans="1:26" ht="14.25" customHeight="1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</row>
    <row r="671" spans="1:26" ht="14.25" customHeight="1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</row>
    <row r="672" spans="1:26" ht="14.25" customHeight="1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</row>
    <row r="673" spans="1:26" ht="14.25" customHeight="1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</row>
    <row r="674" spans="1:26" ht="14.25" customHeight="1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</row>
    <row r="675" spans="1:26" ht="14.25" customHeight="1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</row>
    <row r="676" spans="1:26" ht="14.25" customHeight="1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</row>
    <row r="677" spans="1:26" ht="14.25" customHeight="1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</row>
    <row r="678" spans="1:26" ht="14.25" customHeight="1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</row>
    <row r="679" spans="1:26" ht="14.25" customHeight="1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</row>
    <row r="680" spans="1:26" ht="14.25" customHeight="1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</row>
    <row r="681" spans="1:26" ht="14.25" customHeight="1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</row>
    <row r="682" spans="1:26" ht="14.25" customHeight="1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</row>
    <row r="683" spans="1:26" ht="14.25" customHeight="1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</row>
    <row r="684" spans="1:26" ht="14.25" customHeight="1">
      <c r="A684" s="45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</row>
    <row r="685" spans="1:26" ht="14.25" customHeight="1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</row>
    <row r="686" spans="1:26" ht="14.25" customHeight="1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</row>
    <row r="687" spans="1:26" ht="14.25" customHeight="1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</row>
    <row r="688" spans="1:26" ht="14.25" customHeight="1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</row>
    <row r="689" spans="1:26" ht="14.25" customHeight="1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</row>
    <row r="690" spans="1:26" ht="14.25" customHeight="1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</row>
    <row r="691" spans="1:26" ht="14.25" customHeight="1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</row>
    <row r="692" spans="1:26" ht="14.25" customHeight="1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</row>
    <row r="693" spans="1:26" ht="14.25" customHeight="1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</row>
    <row r="694" spans="1:26" ht="14.25" customHeight="1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</row>
    <row r="695" spans="1:26" ht="14.25" customHeight="1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</row>
    <row r="696" spans="1:26" ht="14.25" customHeight="1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</row>
    <row r="697" spans="1:26" ht="14.25" customHeight="1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</row>
    <row r="698" spans="1:26" ht="14.25" customHeight="1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</row>
    <row r="699" spans="1:26" ht="14.25" customHeight="1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</row>
    <row r="700" spans="1:26" ht="14.25" customHeight="1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</row>
    <row r="701" spans="1:26" ht="14.25" customHeight="1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</row>
    <row r="702" spans="1:26" ht="14.25" customHeight="1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</row>
    <row r="703" spans="1:26" ht="14.25" customHeight="1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</row>
    <row r="704" spans="1:26" ht="14.25" customHeight="1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</row>
    <row r="705" spans="1:26" ht="14.25" customHeight="1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</row>
    <row r="706" spans="1:26" ht="14.25" customHeight="1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</row>
    <row r="707" spans="1:26" ht="14.25" customHeight="1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</row>
    <row r="708" spans="1:26" ht="14.25" customHeight="1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</row>
    <row r="709" spans="1:26" ht="14.25" customHeight="1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</row>
    <row r="710" spans="1:26" ht="14.25" customHeight="1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</row>
    <row r="711" spans="1:26" ht="14.25" customHeight="1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</row>
    <row r="712" spans="1:26" ht="14.25" customHeight="1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</row>
    <row r="713" spans="1:26" ht="14.25" customHeight="1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</row>
    <row r="714" spans="1:26" ht="14.25" customHeight="1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</row>
    <row r="715" spans="1:26" ht="14.25" customHeight="1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</row>
    <row r="716" spans="1:26" ht="14.25" customHeight="1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</row>
    <row r="717" spans="1:26" ht="14.25" customHeight="1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</row>
    <row r="718" spans="1:26" ht="14.25" customHeight="1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</row>
    <row r="719" spans="1:26" ht="14.25" customHeight="1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</row>
    <row r="720" spans="1:26" ht="14.25" customHeight="1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</row>
    <row r="721" spans="1:26" ht="14.25" customHeight="1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</row>
    <row r="722" spans="1:26" ht="14.25" customHeight="1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</row>
    <row r="723" spans="1:26" ht="14.25" customHeight="1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</row>
    <row r="724" spans="1:26" ht="14.25" customHeight="1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</row>
    <row r="725" spans="1:26" ht="14.25" customHeight="1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</row>
    <row r="726" spans="1:26" ht="14.25" customHeight="1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</row>
    <row r="727" spans="1:26" ht="14.25" customHeight="1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</row>
    <row r="728" spans="1:26" ht="14.25" customHeight="1">
      <c r="A728" s="45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</row>
    <row r="729" spans="1:26" ht="14.25" customHeight="1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</row>
    <row r="730" spans="1:26" ht="14.25" customHeight="1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</row>
    <row r="731" spans="1:26" ht="14.25" customHeight="1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</row>
    <row r="732" spans="1:26" ht="14.25" customHeight="1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</row>
    <row r="733" spans="1:26" ht="14.25" customHeight="1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</row>
    <row r="734" spans="1:26" ht="14.25" customHeight="1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</row>
    <row r="735" spans="1:26" ht="14.25" customHeight="1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</row>
    <row r="736" spans="1:26" ht="14.25" customHeight="1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</row>
    <row r="737" spans="1:26" ht="14.25" customHeight="1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</row>
    <row r="738" spans="1:26" ht="14.25" customHeight="1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</row>
    <row r="739" spans="1:26" ht="14.25" customHeight="1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</row>
    <row r="740" spans="1:26" ht="14.25" customHeight="1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</row>
    <row r="741" spans="1:26" ht="14.25" customHeight="1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</row>
    <row r="742" spans="1:26" ht="14.25" customHeight="1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</row>
    <row r="743" spans="1:26" ht="14.25" customHeight="1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</row>
    <row r="744" spans="1:26" ht="14.25" customHeight="1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</row>
    <row r="745" spans="1:26" ht="14.25" customHeight="1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</row>
    <row r="746" spans="1:26" ht="14.25" customHeight="1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</row>
    <row r="747" spans="1:26" ht="14.25" customHeight="1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</row>
    <row r="748" spans="1:26" ht="14.25" customHeight="1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</row>
    <row r="749" spans="1:26" ht="14.25" customHeight="1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</row>
    <row r="750" spans="1:26" ht="14.25" customHeight="1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</row>
    <row r="751" spans="1:26" ht="14.25" customHeight="1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</row>
    <row r="752" spans="1:26" ht="14.25" customHeight="1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</row>
    <row r="753" spans="1:26" ht="14.25" customHeight="1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</row>
    <row r="754" spans="1:26" ht="14.25" customHeight="1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</row>
    <row r="755" spans="1:26" ht="14.25" customHeight="1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</row>
    <row r="756" spans="1:26" ht="14.25" customHeight="1">
      <c r="A756" s="45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</row>
    <row r="757" spans="1:26" ht="14.25" customHeight="1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</row>
    <row r="758" spans="1:26" ht="14.25" customHeight="1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</row>
    <row r="759" spans="1:26" ht="14.25" customHeight="1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</row>
    <row r="760" spans="1:26" ht="14.25" customHeight="1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</row>
    <row r="761" spans="1:26" ht="14.25" customHeight="1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</row>
    <row r="762" spans="1:26" ht="14.25" customHeight="1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</row>
    <row r="763" spans="1:26" ht="14.25" customHeight="1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</row>
    <row r="764" spans="1:26" ht="14.25" customHeight="1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</row>
    <row r="765" spans="1:26" ht="14.25" customHeight="1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</row>
    <row r="766" spans="1:26" ht="14.25" customHeight="1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</row>
    <row r="767" spans="1:26" ht="14.25" customHeight="1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</row>
    <row r="768" spans="1:26" ht="14.25" customHeight="1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</row>
    <row r="769" spans="1:26" ht="14.25" customHeight="1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</row>
    <row r="770" spans="1:26" ht="14.25" customHeight="1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</row>
    <row r="771" spans="1:26" ht="14.25" customHeight="1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</row>
    <row r="772" spans="1:26" ht="14.25" customHeight="1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</row>
    <row r="773" spans="1:26" ht="14.25" customHeight="1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</row>
    <row r="774" spans="1:26" ht="14.25" customHeight="1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</row>
    <row r="775" spans="1:26" ht="14.25" customHeight="1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</row>
    <row r="776" spans="1:26" ht="14.25" customHeight="1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</row>
    <row r="777" spans="1:26" ht="14.25" customHeight="1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</row>
    <row r="778" spans="1:26" ht="14.25" customHeight="1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</row>
    <row r="779" spans="1:26" ht="14.25" customHeight="1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</row>
    <row r="780" spans="1:26" ht="14.25" customHeight="1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</row>
    <row r="781" spans="1:26" ht="14.25" customHeight="1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</row>
    <row r="782" spans="1:26" ht="14.25" customHeight="1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</row>
    <row r="783" spans="1:26" ht="14.25" customHeight="1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</row>
    <row r="784" spans="1:26" ht="14.25" customHeight="1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</row>
    <row r="785" spans="1:26" ht="14.25" customHeight="1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</row>
    <row r="786" spans="1:26" ht="14.25" customHeight="1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</row>
    <row r="787" spans="1:26" ht="14.25" customHeight="1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</row>
    <row r="788" spans="1:26" ht="14.25" customHeight="1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</row>
    <row r="789" spans="1:26" ht="14.25" customHeight="1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</row>
    <row r="790" spans="1:26" ht="14.25" customHeight="1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</row>
    <row r="791" spans="1:26" ht="14.25" customHeight="1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</row>
    <row r="792" spans="1:26" ht="14.25" customHeight="1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</row>
    <row r="793" spans="1:26" ht="14.25" customHeight="1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</row>
    <row r="794" spans="1:26" ht="14.25" customHeight="1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</row>
    <row r="795" spans="1:26" ht="14.25" customHeight="1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</row>
    <row r="796" spans="1:26" ht="14.25" customHeight="1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</row>
    <row r="797" spans="1:26" ht="14.25" customHeight="1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</row>
    <row r="798" spans="1:26" ht="14.25" customHeight="1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</row>
    <row r="799" spans="1:26" ht="14.25" customHeight="1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</row>
    <row r="800" spans="1:26" ht="14.25" customHeight="1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</row>
    <row r="801" spans="1:26" ht="14.25" customHeight="1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</row>
    <row r="802" spans="1:26" ht="14.25" customHeight="1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</row>
    <row r="803" spans="1:26" ht="14.25" customHeight="1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</row>
    <row r="804" spans="1:26" ht="14.25" customHeight="1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</row>
    <row r="805" spans="1:26" ht="14.25" customHeight="1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</row>
    <row r="806" spans="1:26" ht="14.25" customHeight="1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</row>
    <row r="807" spans="1:26" ht="14.25" customHeight="1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</row>
    <row r="808" spans="1:26" ht="14.25" customHeight="1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</row>
    <row r="809" spans="1:26" ht="14.25" customHeight="1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</row>
    <row r="810" spans="1:26" ht="14.25" customHeight="1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</row>
    <row r="811" spans="1:26" ht="14.25" customHeight="1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</row>
    <row r="812" spans="1:26" ht="14.25" customHeight="1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</row>
    <row r="813" spans="1:26" ht="14.25" customHeight="1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</row>
    <row r="814" spans="1:26" ht="14.25" customHeight="1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</row>
    <row r="815" spans="1:26" ht="14.25" customHeight="1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</row>
    <row r="816" spans="1:26" ht="14.25" customHeight="1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</row>
    <row r="817" spans="1:26" ht="14.25" customHeight="1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</row>
    <row r="818" spans="1:26" ht="14.25" customHeight="1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</row>
    <row r="819" spans="1:26" ht="14.25" customHeight="1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</row>
    <row r="820" spans="1:26" ht="14.25" customHeight="1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</row>
    <row r="821" spans="1:26" ht="14.25" customHeight="1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</row>
    <row r="822" spans="1:26" ht="14.25" customHeight="1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</row>
    <row r="823" spans="1:26" ht="14.25" customHeight="1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</row>
    <row r="824" spans="1:26" ht="14.25" customHeight="1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</row>
    <row r="825" spans="1:26" ht="14.25" customHeight="1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</row>
    <row r="826" spans="1:26" ht="14.25" customHeight="1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</row>
    <row r="827" spans="1:26" ht="14.25" customHeight="1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</row>
    <row r="828" spans="1:26" ht="14.25" customHeight="1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</row>
    <row r="829" spans="1:26" ht="14.25" customHeight="1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</row>
    <row r="830" spans="1:26" ht="14.25" customHeight="1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</row>
    <row r="831" spans="1:26" ht="14.25" customHeight="1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</row>
    <row r="832" spans="1:26" ht="14.25" customHeight="1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</row>
    <row r="833" spans="1:26" ht="14.25" customHeight="1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</row>
    <row r="834" spans="1:26" ht="14.25" customHeight="1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</row>
    <row r="835" spans="1:26" ht="14.25" customHeight="1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</row>
    <row r="836" spans="1:26" ht="14.25" customHeight="1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</row>
    <row r="837" spans="1:26" ht="14.25" customHeight="1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</row>
    <row r="838" spans="1:26" ht="14.25" customHeight="1">
      <c r="A838" s="45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</row>
    <row r="839" spans="1:26" ht="14.25" customHeight="1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</row>
    <row r="840" spans="1:26" ht="14.25" customHeight="1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</row>
    <row r="841" spans="1:26" ht="14.25" customHeight="1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</row>
    <row r="842" spans="1:26" ht="14.25" customHeight="1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</row>
    <row r="843" spans="1:26" ht="14.25" customHeight="1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</row>
    <row r="844" spans="1:26" ht="14.25" customHeight="1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</row>
    <row r="845" spans="1:26" ht="14.25" customHeight="1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</row>
    <row r="846" spans="1:26" ht="14.25" customHeight="1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</row>
    <row r="847" spans="1:26" ht="14.25" customHeight="1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</row>
    <row r="848" spans="1:26" ht="14.25" customHeight="1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</row>
    <row r="849" spans="1:26" ht="14.25" customHeight="1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</row>
    <row r="850" spans="1:26" ht="14.25" customHeight="1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</row>
    <row r="851" spans="1:26" ht="14.25" customHeight="1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</row>
    <row r="852" spans="1:26" ht="14.25" customHeight="1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</row>
    <row r="853" spans="1:26" ht="14.25" customHeight="1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</row>
    <row r="854" spans="1:26" ht="14.25" customHeight="1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</row>
    <row r="855" spans="1:26" ht="14.25" customHeight="1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</row>
    <row r="856" spans="1:26" ht="14.25" customHeight="1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</row>
    <row r="857" spans="1:26" ht="14.25" customHeight="1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</row>
    <row r="858" spans="1:26" ht="14.25" customHeight="1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</row>
    <row r="859" spans="1:26" ht="14.25" customHeight="1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</row>
    <row r="860" spans="1:26" ht="14.25" customHeight="1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</row>
    <row r="861" spans="1:26" ht="14.25" customHeight="1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</row>
    <row r="862" spans="1:26" ht="14.25" customHeight="1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</row>
    <row r="863" spans="1:26" ht="14.25" customHeight="1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</row>
    <row r="864" spans="1:26" ht="14.25" customHeight="1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</row>
    <row r="865" spans="1:26" ht="14.25" customHeight="1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</row>
    <row r="866" spans="1:26" ht="14.25" customHeight="1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</row>
    <row r="867" spans="1:26" ht="14.25" customHeight="1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</row>
    <row r="868" spans="1:26" ht="14.25" customHeight="1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</row>
    <row r="869" spans="1:26" ht="14.25" customHeight="1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</row>
    <row r="870" spans="1:26" ht="14.25" customHeight="1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</row>
    <row r="871" spans="1:26" ht="14.25" customHeight="1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</row>
    <row r="872" spans="1:26" ht="14.25" customHeight="1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</row>
    <row r="873" spans="1:26" ht="14.25" customHeight="1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</row>
    <row r="874" spans="1:26" ht="14.25" customHeight="1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</row>
    <row r="875" spans="1:26" ht="14.25" customHeight="1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</row>
    <row r="876" spans="1:26" ht="14.25" customHeight="1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</row>
    <row r="877" spans="1:26" ht="14.25" customHeight="1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</row>
    <row r="878" spans="1:26" ht="14.25" customHeight="1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</row>
    <row r="879" spans="1:26" ht="14.25" customHeight="1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</row>
    <row r="880" spans="1:26" ht="14.25" customHeight="1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</row>
    <row r="881" spans="1:26" ht="14.25" customHeight="1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</row>
    <row r="882" spans="1:26" ht="14.25" customHeight="1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</row>
    <row r="883" spans="1:26" ht="14.25" customHeight="1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</row>
    <row r="884" spans="1:26" ht="14.25" customHeight="1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</row>
    <row r="885" spans="1:26" ht="14.25" customHeight="1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</row>
    <row r="886" spans="1:26" ht="14.25" customHeight="1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</row>
    <row r="887" spans="1:26" ht="14.25" customHeight="1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</row>
    <row r="888" spans="1:26" ht="14.25" customHeight="1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</row>
    <row r="889" spans="1:26" ht="14.25" customHeight="1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</row>
    <row r="890" spans="1:26" ht="14.25" customHeight="1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</row>
    <row r="891" spans="1:26" ht="14.25" customHeight="1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</row>
    <row r="892" spans="1:26" ht="14.25" customHeight="1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</row>
    <row r="893" spans="1:26" ht="14.25" customHeight="1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</row>
    <row r="894" spans="1:26" ht="14.25" customHeight="1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</row>
    <row r="895" spans="1:26" ht="14.25" customHeight="1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</row>
    <row r="896" spans="1:26" ht="14.25" customHeight="1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</row>
    <row r="897" spans="1:26" ht="14.25" customHeight="1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</row>
    <row r="898" spans="1:26" ht="14.25" customHeight="1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</row>
    <row r="899" spans="1:26" ht="14.25" customHeight="1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</row>
    <row r="900" spans="1:26" ht="14.25" customHeight="1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</row>
    <row r="901" spans="1:26" ht="14.25" customHeight="1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</row>
    <row r="902" spans="1:26" ht="14.25" customHeight="1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</row>
    <row r="903" spans="1:26" ht="14.25" customHeight="1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</row>
    <row r="904" spans="1:26" ht="14.25" customHeight="1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</row>
    <row r="905" spans="1:26" ht="14.25" customHeight="1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</row>
    <row r="906" spans="1:26" ht="14.25" customHeight="1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</row>
    <row r="907" spans="1:26" ht="14.25" customHeight="1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</row>
    <row r="908" spans="1:26" ht="14.25" customHeight="1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</row>
    <row r="909" spans="1:26" ht="14.25" customHeight="1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</row>
    <row r="910" spans="1:26" ht="14.25" customHeight="1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</row>
    <row r="911" spans="1:26" ht="14.25" customHeight="1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</row>
    <row r="912" spans="1:26" ht="14.25" customHeight="1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</row>
    <row r="913" spans="1:26" ht="14.25" customHeight="1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</row>
    <row r="914" spans="1:26" ht="14.25" customHeight="1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</row>
    <row r="915" spans="1:26" ht="14.25" customHeight="1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</row>
    <row r="916" spans="1:26" ht="14.25" customHeight="1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</row>
    <row r="917" spans="1:26" ht="14.25" customHeight="1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</row>
    <row r="918" spans="1:26" ht="14.25" customHeight="1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</row>
    <row r="919" spans="1:26" ht="14.25" customHeight="1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</row>
    <row r="920" spans="1:26" ht="14.25" customHeight="1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</row>
    <row r="921" spans="1:26" ht="14.25" customHeight="1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</row>
    <row r="922" spans="1:26" ht="14.25" customHeight="1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</row>
    <row r="923" spans="1:26" ht="14.25" customHeight="1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</row>
    <row r="924" spans="1:26" ht="14.25" customHeight="1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</row>
    <row r="925" spans="1:26" ht="14.25" customHeight="1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</row>
    <row r="926" spans="1:26" ht="14.25" customHeight="1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</row>
    <row r="927" spans="1:26" ht="14.25" customHeight="1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</row>
    <row r="928" spans="1:26" ht="14.25" customHeight="1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</row>
    <row r="929" spans="1:26" ht="14.25" customHeight="1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</row>
    <row r="930" spans="1:26" ht="14.25" customHeight="1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</row>
    <row r="931" spans="1:26" ht="14.25" customHeight="1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</row>
    <row r="932" spans="1:26" ht="14.25" customHeight="1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</row>
    <row r="933" spans="1:26" ht="14.25" customHeight="1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</row>
    <row r="934" spans="1:26" ht="14.25" customHeight="1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</row>
    <row r="935" spans="1:26" ht="14.25" customHeight="1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</row>
    <row r="936" spans="1:26" ht="14.25" customHeight="1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</row>
    <row r="937" spans="1:26" ht="14.25" customHeight="1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</row>
    <row r="938" spans="1:26" ht="14.25" customHeight="1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</row>
    <row r="939" spans="1:26" ht="14.25" customHeight="1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</row>
    <row r="940" spans="1:26" ht="14.25" customHeight="1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</row>
    <row r="941" spans="1:26" ht="14.25" customHeight="1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</row>
    <row r="942" spans="1:26" ht="14.25" customHeight="1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</row>
    <row r="943" spans="1:26" ht="14.25" customHeight="1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</row>
    <row r="944" spans="1:26" ht="14.25" customHeight="1">
      <c r="A944" s="45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</row>
    <row r="945" spans="1:26" ht="14.25" customHeight="1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</row>
    <row r="946" spans="1:26" ht="14.25" customHeight="1">
      <c r="A946" s="45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</row>
    <row r="947" spans="1:26" ht="14.25" customHeight="1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</row>
    <row r="948" spans="1:26" ht="14.25" customHeight="1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</row>
    <row r="949" spans="1:26" ht="14.25" customHeight="1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</row>
    <row r="950" spans="1:26" ht="14.25" customHeight="1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</row>
    <row r="951" spans="1:26" ht="14.25" customHeight="1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</row>
    <row r="952" spans="1:26" ht="14.25" customHeight="1">
      <c r="A952" s="45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</row>
    <row r="953" spans="1:26" ht="14.25" customHeight="1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</row>
    <row r="954" spans="1:26" ht="14.25" customHeight="1">
      <c r="A954" s="45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</row>
    <row r="955" spans="1:26" ht="14.25" customHeight="1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</row>
    <row r="956" spans="1:26" ht="14.25" customHeight="1">
      <c r="A956" s="45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</row>
    <row r="957" spans="1:26" ht="14.25" customHeight="1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</row>
    <row r="958" spans="1:26" ht="14.25" customHeight="1">
      <c r="A958" s="45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</row>
    <row r="959" spans="1:26" ht="14.25" customHeight="1">
      <c r="A959" s="45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</row>
    <row r="960" spans="1:26" ht="14.25" customHeight="1">
      <c r="A960" s="45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</row>
    <row r="961" spans="1:26" ht="14.25" customHeight="1">
      <c r="A961" s="45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</row>
    <row r="962" spans="1:26" ht="14.25" customHeight="1">
      <c r="A962" s="45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</row>
    <row r="963" spans="1:26" ht="14.25" customHeight="1">
      <c r="A963" s="45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</row>
    <row r="964" spans="1:26" ht="14.25" customHeight="1">
      <c r="A964" s="45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</row>
    <row r="965" spans="1:26" ht="14.25" customHeight="1">
      <c r="A965" s="45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</row>
    <row r="966" spans="1:26" ht="14.25" customHeight="1">
      <c r="A966" s="45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</row>
    <row r="967" spans="1:26" ht="14.25" customHeight="1">
      <c r="A967" s="45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</row>
    <row r="968" spans="1:26" ht="14.25" customHeight="1">
      <c r="A968" s="45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</row>
    <row r="969" spans="1:26" ht="14.25" customHeight="1">
      <c r="A969" s="45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</row>
    <row r="970" spans="1:26" ht="14.25" customHeight="1">
      <c r="A970" s="45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</row>
    <row r="971" spans="1:26" ht="14.25" customHeight="1">
      <c r="A971" s="45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</row>
    <row r="972" spans="1:26" ht="14.25" customHeight="1">
      <c r="A972" s="45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</row>
    <row r="973" spans="1:26" ht="14.25" customHeight="1">
      <c r="A973" s="45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</row>
    <row r="974" spans="1:26" ht="14.25" customHeight="1">
      <c r="A974" s="45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</row>
    <row r="975" spans="1:26" ht="14.25" customHeight="1">
      <c r="A975" s="45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</row>
    <row r="976" spans="1:26" ht="14.25" customHeight="1">
      <c r="A976" s="45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</row>
    <row r="977" spans="1:26" ht="14.25" customHeight="1">
      <c r="A977" s="45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</row>
    <row r="978" spans="1:26" ht="14.25" customHeight="1">
      <c r="A978" s="45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</row>
    <row r="979" spans="1:26" ht="14.25" customHeight="1">
      <c r="A979" s="45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</row>
    <row r="980" spans="1:26" ht="14.25" customHeight="1">
      <c r="A980" s="45"/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</row>
    <row r="981" spans="1:26" ht="14.25" customHeight="1">
      <c r="A981" s="45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</row>
    <row r="982" spans="1:26" ht="14.25" customHeight="1">
      <c r="A982" s="45"/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</row>
    <row r="983" spans="1:26" ht="14.25" customHeight="1">
      <c r="A983" s="45"/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</row>
    <row r="984" spans="1:26" ht="14.25" customHeight="1">
      <c r="A984" s="45"/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</row>
    <row r="985" spans="1:26" ht="14.25" customHeight="1">
      <c r="A985" s="45"/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</row>
    <row r="986" spans="1:26" ht="14.25" customHeight="1">
      <c r="A986" s="45"/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</row>
    <row r="987" spans="1:26" ht="14.25" customHeight="1">
      <c r="A987" s="45"/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</row>
    <row r="988" spans="1:26" ht="14.25" customHeight="1">
      <c r="A988" s="45"/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</row>
    <row r="989" spans="1:26" ht="14.25" customHeight="1">
      <c r="A989" s="45"/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</row>
    <row r="990" spans="1:26" ht="14.25" customHeight="1">
      <c r="A990" s="45"/>
      <c r="B990" s="45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</row>
    <row r="991" spans="1:26" ht="14.25" customHeight="1">
      <c r="A991" s="45"/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</row>
    <row r="992" spans="1:26" ht="14.25" customHeight="1">
      <c r="A992" s="45"/>
      <c r="B992" s="45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</row>
    <row r="993" spans="1:26" ht="14.25" customHeight="1">
      <c r="A993" s="45"/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</row>
    <row r="994" spans="1:26" ht="14.25" customHeight="1">
      <c r="A994" s="45"/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</row>
    <row r="995" spans="1:26" ht="14.25" customHeight="1">
      <c r="A995" s="45"/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</row>
    <row r="996" spans="1:26" ht="14.25" customHeight="1">
      <c r="A996" s="45"/>
      <c r="B996" s="45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</row>
    <row r="997" spans="1:26" ht="14.25" customHeight="1">
      <c r="A997" s="45"/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</row>
    <row r="998" spans="1:26" ht="14.25" customHeight="1">
      <c r="A998" s="45"/>
      <c r="B998" s="45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</row>
    <row r="999" spans="1:26" ht="14.25" customHeight="1">
      <c r="A999" s="45"/>
      <c r="B999" s="45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</row>
    <row r="1000" spans="1:26" ht="14.25" customHeight="1">
      <c r="A1000" s="45"/>
      <c r="B1000" s="45"/>
      <c r="C1000" s="45"/>
      <c r="D1000" s="45"/>
      <c r="E1000" s="4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</row>
  </sheetData>
  <mergeCells count="5">
    <mergeCell ref="A2:C2"/>
    <mergeCell ref="A3:G3"/>
    <mergeCell ref="I3:O3"/>
    <mergeCell ref="A18:G19"/>
    <mergeCell ref="I18:O19"/>
  </mergeCells>
  <pageMargins left="0.7" right="0.7" top="0.75" bottom="0.75" header="0" footer="0"/>
  <pageSetup paperSize="9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DATA!$H$1:$H$4</xm:f>
          </x14:formula1>
          <xm:sqref>D2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Jayesh</dc:creator>
  <cp:lastModifiedBy>vivek jadhav</cp:lastModifiedBy>
  <dcterms:created xsi:type="dcterms:W3CDTF">2015-06-05T18:17:20Z</dcterms:created>
  <dcterms:modified xsi:type="dcterms:W3CDTF">2025-11-20T07:21:23Z</dcterms:modified>
</cp:coreProperties>
</file>