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e22c774b60dba0c/Desktop/Develearn/Sales-KPI-Dashboard/"/>
    </mc:Choice>
  </mc:AlternateContent>
  <xr:revisionPtr revIDLastSave="130" documentId="8_{171BCD1A-8A4B-4A55-8A83-89C58D6D3EE9}" xr6:coauthVersionLast="47" xr6:coauthVersionMax="47" xr10:uidLastSave="{8872E270-61CD-4C92-B918-4B06CD324DC0}"/>
  <bookViews>
    <workbookView xWindow="-108" yWindow="-108" windowWidth="23256" windowHeight="12456" activeTab="1" xr2:uid="{00000000-000D-0000-FFFF-FFFF00000000}"/>
  </bookViews>
  <sheets>
    <sheet name="DATA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4+ijccjK6hK/HNRsWTB4dRSvfcQkQss6IjKBN0Cxwrg="/>
    </ext>
  </extLst>
</workbook>
</file>

<file path=xl/calcChain.xml><?xml version="1.0" encoding="utf-8"?>
<calcChain xmlns="http://schemas.openxmlformats.org/spreadsheetml/2006/main">
  <c r="E5" i="1" l="1"/>
  <c r="D9" i="1" s="1" a="1"/>
  <c r="D9" i="1" s="1"/>
  <c r="D10" i="1" l="1" a="1"/>
  <c r="D10" i="1" s="1"/>
  <c r="E10" i="1" a="1"/>
  <c r="E10" i="1" s="1"/>
  <c r="F10" i="1" a="1"/>
  <c r="F10" i="1" s="1"/>
  <c r="G10" i="1" a="1"/>
  <c r="G10" i="1" s="1"/>
  <c r="H10" i="1" a="1"/>
  <c r="H10" i="1" s="1"/>
  <c r="I10" i="1" a="1"/>
  <c r="I10" i="1" s="1"/>
  <c r="J10" i="1" a="1"/>
  <c r="J10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P10" i="1" a="1"/>
  <c r="P10" i="1" s="1"/>
  <c r="Q10" i="1" a="1"/>
  <c r="Q10" i="1" s="1"/>
  <c r="R10" i="1" a="1"/>
  <c r="R10" i="1" s="1"/>
  <c r="S10" i="1" a="1"/>
  <c r="S10" i="1" s="1"/>
  <c r="T10" i="1" a="1"/>
  <c r="T10" i="1" s="1"/>
  <c r="U10" i="1" a="1"/>
  <c r="U10" i="1" s="1"/>
  <c r="V10" i="1" a="1"/>
  <c r="V10" i="1" s="1"/>
  <c r="W10" i="1" a="1"/>
  <c r="W10" i="1" s="1"/>
  <c r="X10" i="1" a="1"/>
  <c r="X10" i="1" s="1"/>
  <c r="Y10" i="1" a="1"/>
  <c r="Y10" i="1" s="1"/>
  <c r="Z10" i="1" a="1"/>
  <c r="Z10" i="1" s="1"/>
  <c r="AA10" i="1" a="1"/>
  <c r="AA10" i="1" s="1"/>
  <c r="AB10" i="1" a="1"/>
  <c r="AB10" i="1" s="1"/>
  <c r="AC10" i="1" a="1"/>
  <c r="AC10" i="1" s="1"/>
  <c r="AD10" i="1" a="1"/>
  <c r="AD10" i="1" s="1"/>
  <c r="AE10" i="1" a="1"/>
  <c r="AE10" i="1" s="1"/>
  <c r="AF10" i="1" a="1"/>
  <c r="AF10" i="1" s="1"/>
  <c r="AG10" i="1" a="1"/>
  <c r="AG10" i="1" s="1"/>
  <c r="AH10" i="1" a="1"/>
  <c r="AH10" i="1" s="1"/>
  <c r="AI10" i="1" a="1"/>
  <c r="AI10" i="1" s="1"/>
  <c r="AJ10" i="1" a="1"/>
  <c r="AJ10" i="1" s="1"/>
  <c r="AK10" i="1" a="1"/>
  <c r="AK10" i="1" s="1"/>
  <c r="AL10" i="1" a="1"/>
  <c r="AL10" i="1" s="1"/>
  <c r="AM10" i="1" a="1"/>
  <c r="AM10" i="1" s="1"/>
  <c r="AN10" i="1" a="1"/>
  <c r="AN10" i="1" s="1"/>
  <c r="AO10" i="1" a="1"/>
  <c r="AO10" i="1" s="1"/>
  <c r="AP10" i="1" a="1"/>
  <c r="AP10" i="1" s="1"/>
  <c r="AQ10" i="1" a="1"/>
  <c r="AQ10" i="1" s="1"/>
  <c r="AR10" i="1" a="1"/>
  <c r="AR10" i="1" s="1"/>
  <c r="L9" i="1" a="1"/>
  <c r="L9" i="1" s="1"/>
  <c r="M9" i="1" a="1"/>
  <c r="M9" i="1" s="1"/>
  <c r="N9" i="1" a="1"/>
  <c r="N9" i="1" s="1"/>
  <c r="O9" i="1" a="1"/>
  <c r="O9" i="1" s="1"/>
  <c r="P9" i="1" a="1"/>
  <c r="P9" i="1" s="1"/>
  <c r="Q9" i="1" a="1"/>
  <c r="Q9" i="1" s="1"/>
  <c r="R9" i="1" a="1"/>
  <c r="R9" i="1" s="1"/>
  <c r="S9" i="1" a="1"/>
  <c r="S9" i="1" s="1"/>
  <c r="T9" i="1" a="1"/>
  <c r="T9" i="1" s="1"/>
  <c r="U9" i="1" a="1"/>
  <c r="U9" i="1" s="1"/>
  <c r="V9" i="1" a="1"/>
  <c r="V9" i="1" s="1"/>
  <c r="W9" i="1" a="1"/>
  <c r="W9" i="1" s="1"/>
  <c r="X9" i="1" a="1"/>
  <c r="X9" i="1" s="1"/>
  <c r="Y9" i="1" a="1"/>
  <c r="Y9" i="1" s="1"/>
  <c r="Z9" i="1" a="1"/>
  <c r="Z9" i="1" s="1"/>
  <c r="AA9" i="1" a="1"/>
  <c r="AA9" i="1" s="1"/>
  <c r="AB9" i="1" a="1"/>
  <c r="AB9" i="1" s="1"/>
  <c r="AC9" i="1" a="1"/>
  <c r="AC9" i="1" s="1"/>
  <c r="AD9" i="1" a="1"/>
  <c r="AD9" i="1" s="1"/>
  <c r="AE9" i="1" a="1"/>
  <c r="AE9" i="1" s="1"/>
  <c r="AF9" i="1" a="1"/>
  <c r="AF9" i="1" s="1"/>
  <c r="AG9" i="1" a="1"/>
  <c r="AG9" i="1" s="1"/>
  <c r="AH9" i="1" a="1"/>
  <c r="AH9" i="1" s="1"/>
  <c r="AI9" i="1" a="1"/>
  <c r="AI9" i="1" s="1"/>
  <c r="AJ9" i="1" a="1"/>
  <c r="AJ9" i="1" s="1"/>
  <c r="AK9" i="1" a="1"/>
  <c r="AK9" i="1" s="1"/>
  <c r="AL9" i="1" a="1"/>
  <c r="AL9" i="1" s="1"/>
  <c r="AM9" i="1" a="1"/>
  <c r="AM9" i="1" s="1"/>
  <c r="AN9" i="1" a="1"/>
  <c r="AN9" i="1" s="1"/>
  <c r="AO9" i="1" a="1"/>
  <c r="AO9" i="1" s="1"/>
  <c r="AP9" i="1" a="1"/>
  <c r="AP9" i="1" s="1"/>
  <c r="AQ9" i="1" a="1"/>
  <c r="AQ9" i="1" s="1"/>
  <c r="AR9" i="1" a="1"/>
  <c r="AR9" i="1" s="1"/>
  <c r="E9" i="1" a="1"/>
  <c r="E9" i="1" s="1"/>
  <c r="F9" i="1" a="1"/>
  <c r="F9" i="1" s="1"/>
  <c r="G9" i="1" a="1"/>
  <c r="G9" i="1" s="1"/>
  <c r="H9" i="1" a="1"/>
  <c r="H9" i="1" s="1"/>
  <c r="I9" i="1" a="1"/>
  <c r="I9" i="1" s="1"/>
  <c r="J9" i="1" a="1"/>
  <c r="J9" i="1" s="1"/>
  <c r="K9" i="1" a="1"/>
  <c r="K9" i="1" s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AL15" i="1" a="1"/>
  <c r="AL15" i="1" s="1"/>
  <c r="AK15" i="1" a="1"/>
  <c r="AK15" i="1" s="1"/>
  <c r="Y15" i="1" a="1"/>
  <c r="Y15" i="1" s="1"/>
  <c r="X15" i="1" a="1"/>
  <c r="X15" i="1" s="1"/>
  <c r="T15" i="1" a="1"/>
  <c r="T15" i="1" s="1"/>
  <c r="H15" i="1" a="1"/>
  <c r="H15" i="1" s="1"/>
  <c r="AP14" i="1" a="1"/>
  <c r="AP14" i="1" s="1"/>
  <c r="AL14" i="1" a="1"/>
  <c r="AL14" i="1" s="1"/>
  <c r="AD14" i="1" a="1"/>
  <c r="AD14" i="1" s="1"/>
  <c r="Z14" i="1" a="1"/>
  <c r="Z14" i="1" s="1"/>
  <c r="R14" i="1" a="1"/>
  <c r="R14" i="1" s="1"/>
  <c r="N14" i="1" a="1"/>
  <c r="N14" i="1" s="1"/>
  <c r="F14" i="1" a="1"/>
  <c r="F14" i="1" s="1"/>
  <c r="AR13" i="1" a="1"/>
  <c r="AR13" i="1" s="1"/>
  <c r="AJ13" i="1" a="1"/>
  <c r="AJ13" i="1" s="1"/>
  <c r="AF13" i="1" a="1"/>
  <c r="AF13" i="1" s="1"/>
  <c r="X13" i="1" a="1"/>
  <c r="X13" i="1" s="1"/>
  <c r="M13" i="1" a="1"/>
  <c r="M13" i="1" s="1"/>
  <c r="L13" i="1" a="1"/>
  <c r="L13" i="1" s="1"/>
  <c r="AQ12" i="1" a="1"/>
  <c r="AQ12" i="1" s="1"/>
  <c r="AP12" i="1" a="1"/>
  <c r="AP12" i="1" s="1"/>
  <c r="AF12" i="1" a="1"/>
  <c r="AF12" i="1" s="1"/>
  <c r="AE12" i="1" a="1"/>
  <c r="AE12" i="1" s="1"/>
  <c r="X12" i="1" a="1"/>
  <c r="X12" i="1" s="1"/>
  <c r="T12" i="1" a="1"/>
  <c r="T12" i="1" s="1"/>
  <c r="M12" i="1" a="1"/>
  <c r="M12" i="1" s="1"/>
  <c r="L12" i="1" a="1"/>
  <c r="L12" i="1" s="1"/>
  <c r="AQ11" i="1" a="1"/>
  <c r="AQ11" i="1" s="1"/>
  <c r="AF11" i="1" a="1"/>
  <c r="AF11" i="1" s="1"/>
  <c r="X11" i="1" a="1"/>
  <c r="X11" i="1" s="1"/>
  <c r="M11" i="1" a="1"/>
  <c r="M11" i="1" s="1"/>
  <c r="L11" i="1" a="1"/>
  <c r="L11" i="1" s="1"/>
  <c r="AO15" i="1" l="1" a="1"/>
  <c r="AO15" i="1" s="1"/>
  <c r="AI15" i="1" a="1"/>
  <c r="AI15" i="1" s="1"/>
  <c r="AC15" i="1" a="1"/>
  <c r="AC15" i="1" s="1"/>
  <c r="W15" i="1" a="1"/>
  <c r="W15" i="1" s="1"/>
  <c r="Q15" i="1" a="1"/>
  <c r="Q15" i="1" s="1"/>
  <c r="K15" i="1" a="1"/>
  <c r="K15" i="1" s="1"/>
  <c r="E15" i="1" a="1"/>
  <c r="E15" i="1" s="1"/>
  <c r="AO14" i="1" a="1"/>
  <c r="AO14" i="1" s="1"/>
  <c r="AI14" i="1" a="1"/>
  <c r="AI14" i="1" s="1"/>
  <c r="AC14" i="1" a="1"/>
  <c r="AC14" i="1" s="1"/>
  <c r="W14" i="1" a="1"/>
  <c r="W14" i="1" s="1"/>
  <c r="Q14" i="1" a="1"/>
  <c r="Q14" i="1" s="1"/>
  <c r="K14" i="1" a="1"/>
  <c r="K14" i="1" s="1"/>
  <c r="E14" i="1" a="1"/>
  <c r="E14" i="1" s="1"/>
  <c r="AO13" i="1" a="1"/>
  <c r="AO13" i="1" s="1"/>
  <c r="AI13" i="1" a="1"/>
  <c r="AI13" i="1" s="1"/>
  <c r="AC13" i="1" a="1"/>
  <c r="AC13" i="1" s="1"/>
  <c r="W13" i="1" a="1"/>
  <c r="W13" i="1" s="1"/>
  <c r="Q13" i="1" a="1"/>
  <c r="Q13" i="1" s="1"/>
  <c r="K13" i="1" a="1"/>
  <c r="K13" i="1" s="1"/>
  <c r="E13" i="1" a="1"/>
  <c r="E13" i="1" s="1"/>
  <c r="AO12" i="1" a="1"/>
  <c r="AO12" i="1" s="1"/>
  <c r="AI12" i="1" a="1"/>
  <c r="AI12" i="1" s="1"/>
  <c r="AC12" i="1" a="1"/>
  <c r="AC12" i="1" s="1"/>
  <c r="W12" i="1" a="1"/>
  <c r="W12" i="1" s="1"/>
  <c r="Q12" i="1" a="1"/>
  <c r="Q12" i="1" s="1"/>
  <c r="K12" i="1" a="1"/>
  <c r="K12" i="1" s="1"/>
  <c r="E12" i="1" a="1"/>
  <c r="E12" i="1" s="1"/>
  <c r="AO11" i="1" a="1"/>
  <c r="AO11" i="1" s="1"/>
  <c r="AI11" i="1" a="1"/>
  <c r="AI11" i="1" s="1"/>
  <c r="AC11" i="1" a="1"/>
  <c r="AC11" i="1" s="1"/>
  <c r="W11" i="1" a="1"/>
  <c r="W11" i="1" s="1"/>
  <c r="Q11" i="1" a="1"/>
  <c r="Q11" i="1" s="1"/>
  <c r="K11" i="1" a="1"/>
  <c r="K11" i="1" s="1"/>
  <c r="E11" i="1" a="1"/>
  <c r="E11" i="1" s="1"/>
  <c r="AM15" i="1" a="1"/>
  <c r="AM15" i="1" s="1"/>
  <c r="U15" i="1" a="1"/>
  <c r="U15" i="1" s="1"/>
  <c r="I15" i="1" a="1"/>
  <c r="I15" i="1" s="1"/>
  <c r="AM14" i="1" a="1"/>
  <c r="AM14" i="1" s="1"/>
  <c r="U14" i="1" a="1"/>
  <c r="U14" i="1" s="1"/>
  <c r="I14" i="1" a="1"/>
  <c r="I14" i="1" s="1"/>
  <c r="C14" i="1" a="1"/>
  <c r="C14" i="1" s="1"/>
  <c r="AA13" i="1" a="1"/>
  <c r="AA13" i="1" s="1"/>
  <c r="I13" i="1" a="1"/>
  <c r="I13" i="1" s="1"/>
  <c r="AG12" i="1" a="1"/>
  <c r="AG12" i="1" s="1"/>
  <c r="O12" i="1" a="1"/>
  <c r="O12" i="1" s="1"/>
  <c r="AM11" i="1" a="1"/>
  <c r="AM11" i="1" s="1"/>
  <c r="U11" i="1" a="1"/>
  <c r="U11" i="1" s="1"/>
  <c r="C11" i="1" a="1"/>
  <c r="C11" i="1" s="1"/>
  <c r="C9" i="1" a="1"/>
  <c r="C9" i="1" s="1"/>
  <c r="AG15" i="1" a="1"/>
  <c r="AG15" i="1" s="1"/>
  <c r="AG14" i="1" a="1"/>
  <c r="AG14" i="1" s="1"/>
  <c r="AG13" i="1" a="1"/>
  <c r="AG13" i="1" s="1"/>
  <c r="C13" i="1" a="1"/>
  <c r="C13" i="1" s="1"/>
  <c r="AA12" i="1" a="1"/>
  <c r="AA12" i="1" s="1"/>
  <c r="I12" i="1" a="1"/>
  <c r="I12" i="1" s="1"/>
  <c r="AG11" i="1" a="1"/>
  <c r="AG11" i="1" s="1"/>
  <c r="I11" i="1" a="1"/>
  <c r="I11" i="1" s="1"/>
  <c r="AN15" i="1" a="1"/>
  <c r="AN15" i="1" s="1"/>
  <c r="AH15" i="1" a="1"/>
  <c r="AH15" i="1" s="1"/>
  <c r="AB15" i="1" a="1"/>
  <c r="AB15" i="1" s="1"/>
  <c r="V15" i="1" a="1"/>
  <c r="V15" i="1" s="1"/>
  <c r="P15" i="1" a="1"/>
  <c r="P15" i="1" s="1"/>
  <c r="J15" i="1" a="1"/>
  <c r="J15" i="1" s="1"/>
  <c r="D15" i="1" a="1"/>
  <c r="D15" i="1" s="1"/>
  <c r="AN14" i="1" a="1"/>
  <c r="AN14" i="1" s="1"/>
  <c r="AH14" i="1" a="1"/>
  <c r="AH14" i="1" s="1"/>
  <c r="AB14" i="1" a="1"/>
  <c r="AB14" i="1" s="1"/>
  <c r="V14" i="1" a="1"/>
  <c r="V14" i="1" s="1"/>
  <c r="P14" i="1" a="1"/>
  <c r="P14" i="1" s="1"/>
  <c r="J14" i="1" a="1"/>
  <c r="J14" i="1" s="1"/>
  <c r="D14" i="1" a="1"/>
  <c r="D14" i="1" s="1"/>
  <c r="AN13" i="1" a="1"/>
  <c r="AN13" i="1" s="1"/>
  <c r="AH13" i="1" a="1"/>
  <c r="AH13" i="1" s="1"/>
  <c r="AB13" i="1" a="1"/>
  <c r="AB13" i="1" s="1"/>
  <c r="V13" i="1" a="1"/>
  <c r="V13" i="1" s="1"/>
  <c r="P13" i="1" a="1"/>
  <c r="P13" i="1" s="1"/>
  <c r="J13" i="1" a="1"/>
  <c r="J13" i="1" s="1"/>
  <c r="D13" i="1" a="1"/>
  <c r="D13" i="1" s="1"/>
  <c r="AN12" i="1" a="1"/>
  <c r="AN12" i="1" s="1"/>
  <c r="AH12" i="1" a="1"/>
  <c r="AH12" i="1" s="1"/>
  <c r="AB12" i="1" a="1"/>
  <c r="AB12" i="1" s="1"/>
  <c r="V12" i="1" a="1"/>
  <c r="V12" i="1" s="1"/>
  <c r="P12" i="1" a="1"/>
  <c r="P12" i="1" s="1"/>
  <c r="J12" i="1" a="1"/>
  <c r="J12" i="1" s="1"/>
  <c r="D12" i="1" a="1"/>
  <c r="D12" i="1" s="1"/>
  <c r="AN11" i="1" a="1"/>
  <c r="AN11" i="1" s="1"/>
  <c r="AH11" i="1" a="1"/>
  <c r="AH11" i="1" s="1"/>
  <c r="AB11" i="1" a="1"/>
  <c r="AB11" i="1" s="1"/>
  <c r="V11" i="1" a="1"/>
  <c r="V11" i="1" s="1"/>
  <c r="P11" i="1" a="1"/>
  <c r="P11" i="1" s="1"/>
  <c r="J11" i="1" a="1"/>
  <c r="J11" i="1" s="1"/>
  <c r="D11" i="1" a="1"/>
  <c r="D11" i="1" s="1"/>
  <c r="AA15" i="1" a="1"/>
  <c r="AA15" i="1" s="1"/>
  <c r="O15" i="1" a="1"/>
  <c r="O15" i="1" s="1"/>
  <c r="C15" i="1" a="1"/>
  <c r="C15" i="1" s="1"/>
  <c r="AA14" i="1" a="1"/>
  <c r="AA14" i="1" s="1"/>
  <c r="O14" i="1" a="1"/>
  <c r="O14" i="1" s="1"/>
  <c r="AM13" i="1" a="1"/>
  <c r="AM13" i="1" s="1"/>
  <c r="U13" i="1" a="1"/>
  <c r="U13" i="1" s="1"/>
  <c r="O13" i="1" a="1"/>
  <c r="O13" i="1" s="1"/>
  <c r="AM12" i="1" a="1"/>
  <c r="AM12" i="1" s="1"/>
  <c r="U12" i="1" a="1"/>
  <c r="U12" i="1" s="1"/>
  <c r="C12" i="1" a="1"/>
  <c r="C12" i="1" s="1"/>
  <c r="AA11" i="1" a="1"/>
  <c r="AA11" i="1" s="1"/>
  <c r="O11" i="1" a="1"/>
  <c r="O11" i="1" s="1"/>
  <c r="AJ15" i="1" a="1"/>
  <c r="AJ15" i="1" s="1"/>
  <c r="G15" i="1" a="1"/>
  <c r="G15" i="1" s="1"/>
  <c r="AK14" i="1" a="1"/>
  <c r="AK14" i="1" s="1"/>
  <c r="Y14" i="1" a="1"/>
  <c r="Y14" i="1" s="1"/>
  <c r="T13" i="1" a="1"/>
  <c r="T13" i="1" s="1"/>
  <c r="H13" i="1" a="1"/>
  <c r="H13" i="1" s="1"/>
  <c r="AP11" i="1" a="1"/>
  <c r="AP11" i="1" s="1"/>
  <c r="AE11" i="1" a="1"/>
  <c r="AE11" i="1" s="1"/>
  <c r="T11" i="1" a="1"/>
  <c r="T11" i="1" s="1"/>
  <c r="T16" i="1" s="1"/>
  <c r="AF15" i="1" a="1"/>
  <c r="AF15" i="1" s="1"/>
  <c r="S15" i="1" a="1"/>
  <c r="S15" i="1" s="1"/>
  <c r="M14" i="1" a="1"/>
  <c r="M14" i="1" s="1"/>
  <c r="M16" i="1" s="1"/>
  <c r="AQ13" i="1" a="1"/>
  <c r="AQ13" i="1" s="1"/>
  <c r="AE13" i="1" a="1"/>
  <c r="AE13" i="1" s="1"/>
  <c r="AD12" i="1" a="1"/>
  <c r="AD12" i="1" s="1"/>
  <c r="S12" i="1" a="1"/>
  <c r="S12" i="1" s="1"/>
  <c r="R15" i="1" a="1"/>
  <c r="R15" i="1" s="1"/>
  <c r="G12" i="1" a="1"/>
  <c r="G12" i="1" s="1"/>
  <c r="N15" i="1" a="1"/>
  <c r="N15" i="1" s="1"/>
  <c r="R13" i="1" a="1"/>
  <c r="R13" i="1" s="1"/>
  <c r="G11" i="1" a="1"/>
  <c r="G11" i="1" s="1"/>
  <c r="AQ15" i="1" a="1"/>
  <c r="AQ15" i="1" s="1"/>
  <c r="H14" i="1" a="1"/>
  <c r="H14" i="1" s="1"/>
  <c r="F12" i="1" a="1"/>
  <c r="F12" i="1" s="1"/>
  <c r="AQ14" i="1" a="1"/>
  <c r="AQ14" i="1" s="1"/>
  <c r="N12" i="1" a="1"/>
  <c r="N12" i="1" s="1"/>
  <c r="S14" i="1" a="1"/>
  <c r="S14" i="1" s="1"/>
  <c r="N11" i="1" a="1"/>
  <c r="N11" i="1" s="1"/>
  <c r="H12" i="1" a="1"/>
  <c r="H12" i="1" s="1"/>
  <c r="AD13" i="1" a="1"/>
  <c r="AD13" i="1" s="1"/>
  <c r="AK12" i="1" a="1"/>
  <c r="AK12" i="1" s="1"/>
  <c r="AD15" i="1" a="1"/>
  <c r="AD15" i="1" s="1"/>
  <c r="Z13" i="1" a="1"/>
  <c r="Z13" i="1" s="1"/>
  <c r="Z11" i="1" a="1"/>
  <c r="Z11" i="1" s="1"/>
  <c r="Z15" i="1" a="1"/>
  <c r="Z15" i="1" s="1"/>
  <c r="Y12" i="1" a="1"/>
  <c r="Y12" i="1" s="1"/>
  <c r="AK13" i="1" a="1"/>
  <c r="AK13" i="1" s="1"/>
  <c r="F15" i="1" a="1"/>
  <c r="F15" i="1" s="1"/>
  <c r="AJ14" i="1" a="1"/>
  <c r="AJ14" i="1" s="1"/>
  <c r="X14" i="1" a="1"/>
  <c r="X14" i="1" s="1"/>
  <c r="X16" i="1" s="1"/>
  <c r="S13" i="1" a="1"/>
  <c r="S13" i="1" s="1"/>
  <c r="G13" i="1" a="1"/>
  <c r="G13" i="1" s="1"/>
  <c r="AL12" i="1" a="1"/>
  <c r="AL12" i="1" s="1"/>
  <c r="AD11" i="1" a="1"/>
  <c r="AD11" i="1" s="1"/>
  <c r="AD16" i="1" s="1"/>
  <c r="S11" i="1" a="1"/>
  <c r="S11" i="1" s="1"/>
  <c r="H11" i="1" a="1"/>
  <c r="H11" i="1" s="1"/>
  <c r="AR15" i="1" a="1"/>
  <c r="AR15" i="1" s="1"/>
  <c r="AE15" i="1" a="1"/>
  <c r="AE15" i="1" s="1"/>
  <c r="L14" i="1" a="1"/>
  <c r="L14" i="1" s="1"/>
  <c r="AP13" i="1" a="1"/>
  <c r="AP13" i="1" s="1"/>
  <c r="R12" i="1" a="1"/>
  <c r="R12" i="1" s="1"/>
  <c r="AL11" i="1" a="1"/>
  <c r="AL11" i="1" s="1"/>
  <c r="AR14" i="1" a="1"/>
  <c r="AR14" i="1" s="1"/>
  <c r="AF14" i="1" a="1"/>
  <c r="AF14" i="1" s="1"/>
  <c r="F13" i="1" a="1"/>
  <c r="F13" i="1" s="1"/>
  <c r="R11" i="1" a="1"/>
  <c r="R11" i="1" s="1"/>
  <c r="AL13" i="1" a="1"/>
  <c r="AL13" i="1" s="1"/>
  <c r="AK11" i="1" a="1"/>
  <c r="AK11" i="1" s="1"/>
  <c r="M15" i="1" a="1"/>
  <c r="M15" i="1" s="1"/>
  <c r="AE14" i="1" a="1"/>
  <c r="AE14" i="1" s="1"/>
  <c r="AJ12" i="1" a="1"/>
  <c r="AJ12" i="1" s="1"/>
  <c r="F11" i="1" a="1"/>
  <c r="F11" i="1" s="1"/>
  <c r="AP15" i="1" a="1"/>
  <c r="AP15" i="1" s="1"/>
  <c r="G14" i="1" a="1"/>
  <c r="G14" i="1" s="1"/>
  <c r="AR12" i="1" a="1"/>
  <c r="AR12" i="1" s="1"/>
  <c r="AJ11" i="1" a="1"/>
  <c r="AJ11" i="1" s="1"/>
  <c r="Z12" i="1" a="1"/>
  <c r="Z12" i="1" s="1"/>
  <c r="T14" i="1" a="1"/>
  <c r="T14" i="1" s="1"/>
  <c r="N13" i="1" a="1"/>
  <c r="N13" i="1" s="1"/>
  <c r="Y13" i="1" a="1"/>
  <c r="Y13" i="1" s="1"/>
  <c r="Y11" i="1" a="1"/>
  <c r="Y11" i="1" s="1"/>
  <c r="AR11" i="1" a="1"/>
  <c r="AR11" i="1" s="1"/>
  <c r="L15" i="1" a="1"/>
  <c r="L15" i="1" s="1"/>
  <c r="G16" i="1" l="1"/>
  <c r="AP16" i="1"/>
  <c r="R16" i="1"/>
  <c r="L16" i="1"/>
  <c r="P16" i="1"/>
  <c r="AC16" i="1"/>
  <c r="V16" i="1"/>
  <c r="AF16" i="1"/>
  <c r="AQ16" i="1"/>
  <c r="S16" i="1"/>
  <c r="AJ16" i="1"/>
  <c r="W16" i="1"/>
  <c r="J16" i="1"/>
  <c r="AE16" i="1"/>
  <c r="AH16" i="1"/>
  <c r="AL16" i="1"/>
  <c r="U16" i="1"/>
  <c r="N16" i="1"/>
  <c r="O16" i="1"/>
  <c r="AM16" i="1"/>
  <c r="E16" i="1"/>
  <c r="AI16" i="1"/>
  <c r="AO16" i="1"/>
  <c r="F16" i="1"/>
  <c r="AR16" i="1"/>
  <c r="Y16" i="1"/>
  <c r="AA16" i="1"/>
  <c r="I16" i="1"/>
  <c r="K16" i="1"/>
  <c r="AB16" i="1"/>
  <c r="AN16" i="1"/>
  <c r="AK16" i="1"/>
  <c r="H16" i="1"/>
  <c r="Z16" i="1"/>
  <c r="D16" i="1"/>
  <c r="AG16" i="1"/>
  <c r="Q16" i="1"/>
  <c r="C16" i="1"/>
  <c r="A25" i="2" l="1"/>
  <c r="A23" i="2"/>
  <c r="I25" i="2"/>
  <c r="I23" i="2"/>
  <c r="I7" i="2"/>
  <c r="I9" i="2"/>
  <c r="A9" i="2"/>
  <c r="A7" i="2"/>
  <c r="I27" i="2" l="1"/>
  <c r="A11" i="2"/>
  <c r="A27" i="2"/>
  <c r="I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<sst xmlns="http://schemas.openxmlformats.org/spreadsheetml/2006/main" count="399" uniqueCount="56">
  <si>
    <t>ACTIVE TABLE FOR SELECTED</t>
  </si>
  <si>
    <t>Q1</t>
  </si>
  <si>
    <t>October</t>
  </si>
  <si>
    <t>November</t>
  </si>
  <si>
    <t>December</t>
  </si>
  <si>
    <t>Revenue</t>
  </si>
  <si>
    <t>Target Revenue</t>
  </si>
  <si>
    <t>Previous Year
Revenue</t>
  </si>
  <si>
    <t>Number of
Customers</t>
  </si>
  <si>
    <t>Number of
New Customers
Target</t>
  </si>
  <si>
    <t>Number of
New Customers</t>
  </si>
  <si>
    <t>Number of
New Customers
Previous Year</t>
  </si>
  <si>
    <t>Customer Acquisition Costs</t>
  </si>
  <si>
    <t>Customer AC (per customer)</t>
  </si>
  <si>
    <t>Customer AC (per customer) Target</t>
  </si>
  <si>
    <t>Customer Aquis. Costs (per customer) PY</t>
  </si>
  <si>
    <t>Revenue per
Customer</t>
  </si>
  <si>
    <t>Revenue per
Customer PY</t>
  </si>
  <si>
    <t>Target Revenue
per Customer</t>
  </si>
  <si>
    <t>Jacob</t>
  </si>
  <si>
    <t>Arnold</t>
  </si>
  <si>
    <t>Naomi</t>
  </si>
  <si>
    <t>David</t>
  </si>
  <si>
    <t>Ariel</t>
  </si>
  <si>
    <t>TOTAL</t>
  </si>
  <si>
    <t>Q1 2023</t>
  </si>
  <si>
    <t>January</t>
  </si>
  <si>
    <t>February</t>
  </si>
  <si>
    <t>March</t>
  </si>
  <si>
    <t>Q2 2023</t>
  </si>
  <si>
    <t>April</t>
  </si>
  <si>
    <t>May</t>
  </si>
  <si>
    <t>June</t>
  </si>
  <si>
    <t>Q3 2023</t>
  </si>
  <si>
    <t>July</t>
  </si>
  <si>
    <t>August</t>
  </si>
  <si>
    <t>September</t>
  </si>
  <si>
    <t>Q4 2023</t>
  </si>
  <si>
    <t>KPI Overview</t>
  </si>
  <si>
    <t>Revenue Compared per year</t>
  </si>
  <si>
    <t>New Customers per year</t>
  </si>
  <si>
    <t>Revenue Actual VS Target</t>
  </si>
  <si>
    <t>New customers Actual VS Target</t>
  </si>
  <si>
    <t>Actual
Revenue</t>
  </si>
  <si>
    <t>Actual
New Customers</t>
  </si>
  <si>
    <t>Target
Revenue</t>
  </si>
  <si>
    <t>Target New Customers</t>
  </si>
  <si>
    <t>Target
Achievement</t>
  </si>
  <si>
    <t>Average Revenue Per Year</t>
  </si>
  <si>
    <t>Customer Acquisition costs per year</t>
  </si>
  <si>
    <t xml:space="preserve">Avg. Revenue per Customer </t>
  </si>
  <si>
    <t>Customer Acquisition Cost</t>
  </si>
  <si>
    <t>Actual
Revenue Per Customer</t>
  </si>
  <si>
    <t>Actual
CAC</t>
  </si>
  <si>
    <t>Target Revnue Per Customer</t>
  </si>
  <si>
    <t>Target
CAC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</si>
</sst>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_);[Red]\(&quot;$&quot;#,##0.00\)"/>
    <numFmt numFmtId="165" formatCode="&quot;$&quot;#,##0_);[Red]\(&quot;$&quot;#,##0\)"/>
    <numFmt numFmtId="166" formatCode="&quot;$&quot;#,##0;[Red]&quot;$&quot;#,##0"/>
  </numFmts>
  <fonts count="19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Bahnschrift"/>
    </font>
    <font>
      <b/>
      <sz val="14"/>
      <color theme="1"/>
      <name val="Bahnschrift"/>
    </font>
    <font>
      <sz val="18"/>
      <color theme="1"/>
      <name val="Bahnschrift"/>
    </font>
    <font>
      <b/>
      <sz val="18"/>
      <color theme="1"/>
      <name val="Bahnschrift"/>
    </font>
    <font>
      <sz val="11"/>
      <name val="Calibri"/>
    </font>
    <font>
      <b/>
      <sz val="14"/>
      <color theme="1"/>
      <name val="Arial Black"/>
    </font>
    <font>
      <sz val="14"/>
      <color theme="1"/>
      <name val="Bahnschrift"/>
    </font>
    <font>
      <b/>
      <sz val="11"/>
      <color theme="1"/>
      <name val="Bahnschrift"/>
    </font>
    <font>
      <sz val="22"/>
      <color theme="1"/>
      <name val="Bahnschrift"/>
    </font>
    <font>
      <sz val="22"/>
      <color rgb="FF000000"/>
      <name val="Arial"/>
    </font>
    <font>
      <b/>
      <sz val="14"/>
      <color theme="1"/>
      <name val="Calibri"/>
    </font>
    <font>
      <b/>
      <sz val="11"/>
      <color rgb="FF595959"/>
      <name val="Bahnschrift"/>
    </font>
    <font>
      <sz val="16"/>
      <color rgb="FF595959"/>
      <name val="Bahnschrift"/>
    </font>
    <font>
      <b/>
      <sz val="10"/>
      <color rgb="FF595959"/>
      <name val="Bahnschrift"/>
    </font>
    <font>
      <sz val="10"/>
      <color theme="1"/>
      <name val="Calibri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F726E"/>
        <bgColor rgb="FFDF726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theme="4" tint="0.39997558519241921"/>
        <bgColor rgb="FF7ED2DB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0" borderId="1" xfId="0" applyFont="1" applyBorder="1" applyAlignment="1">
      <alignment vertical="center"/>
    </xf>
    <xf numFmtId="0" fontId="8" fillId="2" borderId="4" xfId="0" applyFont="1" applyFill="1" applyBorder="1" applyAlignment="1">
      <alignment vertical="center" wrapText="1"/>
    </xf>
    <xf numFmtId="165" fontId="8" fillId="2" borderId="5" xfId="0" applyNumberFormat="1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4" borderId="3" xfId="0" applyFont="1" applyFill="1" applyBorder="1"/>
    <xf numFmtId="0" fontId="11" fillId="0" borderId="0" xfId="0" applyFont="1"/>
    <xf numFmtId="0" fontId="1" fillId="8" borderId="3" xfId="0" applyFont="1" applyFill="1" applyBorder="1" applyAlignment="1">
      <alignment vertical="center" wrapText="1"/>
    </xf>
    <xf numFmtId="0" fontId="1" fillId="8" borderId="3" xfId="0" applyFont="1" applyFill="1" applyBorder="1"/>
    <xf numFmtId="0" fontId="13" fillId="8" borderId="3" xfId="0" applyFont="1" applyFill="1" applyBorder="1" applyAlignment="1">
      <alignment vertical="center"/>
    </xf>
    <xf numFmtId="165" fontId="14" fillId="8" borderId="3" xfId="0" applyNumberFormat="1" applyFont="1" applyFill="1" applyBorder="1" applyAlignment="1">
      <alignment horizontal="right" vertical="center" wrapText="1"/>
    </xf>
    <xf numFmtId="0" fontId="15" fillId="8" borderId="3" xfId="0" applyFont="1" applyFill="1" applyBorder="1" applyAlignment="1">
      <alignment vertical="center" wrapText="1"/>
    </xf>
    <xf numFmtId="166" fontId="14" fillId="8" borderId="3" xfId="0" applyNumberFormat="1" applyFont="1" applyFill="1" applyBorder="1" applyAlignment="1">
      <alignment horizontal="right" vertical="center" wrapText="1"/>
    </xf>
    <xf numFmtId="9" fontId="14" fillId="8" borderId="3" xfId="0" applyNumberFormat="1" applyFont="1" applyFill="1" applyBorder="1" applyAlignment="1">
      <alignment horizontal="right" vertical="center" wrapText="1"/>
    </xf>
    <xf numFmtId="0" fontId="16" fillId="8" borderId="3" xfId="0" applyFont="1" applyFill="1" applyBorder="1"/>
    <xf numFmtId="0" fontId="13" fillId="8" borderId="3" xfId="0" applyFont="1" applyFill="1" applyBorder="1" applyAlignment="1">
      <alignment horizontal="center" vertical="center" wrapText="1"/>
    </xf>
    <xf numFmtId="165" fontId="13" fillId="8" borderId="3" xfId="0" applyNumberFormat="1" applyFont="1" applyFill="1" applyBorder="1" applyAlignment="1">
      <alignment horizontal="center" vertical="center" wrapText="1"/>
    </xf>
    <xf numFmtId="0" fontId="13" fillId="8" borderId="3" xfId="0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8" fillId="2" borderId="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3" fillId="11" borderId="2" xfId="0" applyNumberFormat="1" applyFont="1" applyFill="1" applyBorder="1" applyAlignment="1">
      <alignment horizontal="center" vertical="center" wrapText="1"/>
    </xf>
    <xf numFmtId="164" fontId="3" fillId="11" borderId="4" xfId="0" applyNumberFormat="1" applyFont="1" applyFill="1" applyBorder="1" applyAlignment="1">
      <alignment horizontal="center" vertical="center" wrapText="1"/>
    </xf>
    <xf numFmtId="164" fontId="7" fillId="11" borderId="4" xfId="0" applyNumberFormat="1" applyFont="1" applyFill="1" applyBorder="1" applyAlignment="1">
      <alignment horizontal="center" vertical="center" wrapText="1"/>
    </xf>
    <xf numFmtId="164" fontId="7" fillId="11" borderId="5" xfId="0" applyNumberFormat="1" applyFont="1" applyFill="1" applyBorder="1" applyAlignment="1">
      <alignment horizontal="center" vertical="center" wrapText="1"/>
    </xf>
    <xf numFmtId="164" fontId="7" fillId="11" borderId="16" xfId="0" applyNumberFormat="1" applyFont="1" applyFill="1" applyBorder="1" applyAlignment="1">
      <alignment horizontal="center" vertical="center" wrapText="1"/>
    </xf>
    <xf numFmtId="165" fontId="3" fillId="11" borderId="19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6" fillId="0" borderId="8" xfId="0" applyFont="1" applyBorder="1"/>
    <xf numFmtId="0" fontId="6" fillId="0" borderId="9" xfId="0" applyFont="1" applyBorder="1"/>
    <xf numFmtId="164" fontId="5" fillId="11" borderId="20" xfId="0" applyNumberFormat="1" applyFont="1" applyFill="1" applyBorder="1" applyAlignment="1">
      <alignment horizontal="center" vertical="center" wrapText="1"/>
    </xf>
    <xf numFmtId="0" fontId="6" fillId="12" borderId="20" xfId="0" applyFont="1" applyFill="1" applyBorder="1"/>
    <xf numFmtId="0" fontId="10" fillId="5" borderId="10" xfId="0" applyFont="1" applyFill="1" applyBorder="1" applyAlignment="1">
      <alignment horizontal="center" vertical="center" wrapText="1"/>
    </xf>
    <xf numFmtId="0" fontId="6" fillId="0" borderId="11" xfId="0" applyFont="1" applyBorder="1"/>
    <xf numFmtId="0" fontId="6" fillId="0" borderId="12" xfId="0" applyFont="1" applyBorder="1"/>
    <xf numFmtId="0" fontId="12" fillId="6" borderId="13" xfId="0" applyFont="1" applyFill="1" applyBorder="1" applyAlignment="1">
      <alignment horizontal="center" vertical="center"/>
    </xf>
    <xf numFmtId="0" fontId="6" fillId="0" borderId="14" xfId="0" applyFont="1" applyBorder="1"/>
    <xf numFmtId="0" fontId="6" fillId="0" borderId="15" xfId="0" applyFont="1" applyBorder="1"/>
    <xf numFmtId="0" fontId="12" fillId="7" borderId="13" xfId="0" applyFont="1" applyFill="1" applyBorder="1" applyAlignment="1">
      <alignment horizontal="center" vertical="center"/>
    </xf>
    <xf numFmtId="0" fontId="12" fillId="9" borderId="16" xfId="0" applyFont="1" applyFill="1" applyBorder="1" applyAlignment="1">
      <alignment horizontal="center" vertical="center"/>
    </xf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12" fillId="10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17/10/relationships/person" Target="persons/perso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 algn="ctr" rtl="0">
              <a:def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rPr>
              <a:t>Revenue compared  to previous year</a:t>
            </a:r>
          </a:p>
        </c:rich>
      </c:tx>
      <c:layout>
        <c:manualLayout>
          <c:xMode val="edge"/>
          <c:yMode val="edge"/>
          <c:x val="0.24299821781536568"/>
          <c:y val="3.177115055739984E-2"/>
        </c:manualLayout>
      </c:layout>
      <c:overlay val="0"/>
    </c:title>
    <c:autoTitleDeleted val="0"/>
    <c:plotArea>
      <c:layout>
        <c:manualLayout>
          <c:xMode val="edge"/>
          <c:yMode val="edge"/>
          <c:x val="0.18605280683198183"/>
          <c:y val="0.12076965731396251"/>
          <c:w val="0.77208552055992996"/>
          <c:h val="0.6976607304404910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F4B18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DATA!$F$9:$H$9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DATA!$C$16:$E$16</c:f>
              <c:numCache>
                <c:formatCode>"$"#,##0_);[Red]\("$"#,##0\)</c:formatCode>
                <c:ptCount val="3"/>
                <c:pt idx="0">
                  <c:v>780000</c:v>
                </c:pt>
                <c:pt idx="1">
                  <c:v>745000</c:v>
                </c:pt>
                <c:pt idx="2">
                  <c:v>760000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2E-433A-A380-BC6E75F27AD0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DATA!$F$9:$H$9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DATA!$F$16:$H$16</c:f>
              <c:numCache>
                <c:formatCode>"$"#,##0_);[Red]\("$"#,##0\)</c:formatCode>
                <c:ptCount val="3"/>
                <c:pt idx="0">
                  <c:v>800000</c:v>
                </c:pt>
                <c:pt idx="1">
                  <c:v>725000</c:v>
                </c:pt>
                <c:pt idx="2">
                  <c:v>800000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02E-433A-A380-BC6E75F27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955855"/>
        <c:axId val="1726434787"/>
      </c:barChart>
      <c:catAx>
        <c:axId val="42955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26434787"/>
        <c:crosses val="autoZero"/>
        <c:auto val="1"/>
        <c:lblAlgn val="ctr"/>
        <c:lblOffset val="100"/>
        <c:noMultiLvlLbl val="1"/>
      </c:catAx>
      <c:valAx>
        <c:axId val="1726434787"/>
        <c:scaling>
          <c:orientation val="minMax"/>
          <c:max val="1000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@" sourceLinked="0"/>
        <c:majorTickMark val="none"/>
        <c:minorTickMark val="none"/>
        <c:tickLblPos val="nextTo"/>
        <c:spPr>
          <a:ln/>
        </c:spPr>
        <c:txPr>
          <a:bodyPr rot="-60000"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95585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 algn="ctr" rtl="0">
              <a:def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rPr>
              <a:t>New Cumstomers compared to previous
</a:t>
            </a:r>
          </a:p>
        </c:rich>
      </c:tx>
      <c:layout>
        <c:manualLayout>
          <c:xMode val="edge"/>
          <c:yMode val="edge"/>
          <c:x val="0.25436557071587423"/>
          <c:y val="9.080827353918644E-3"/>
        </c:manualLayout>
      </c:layout>
      <c:overlay val="0"/>
    </c:title>
    <c:autoTitleDeleted val="0"/>
    <c:plotArea>
      <c:layout>
        <c:manualLayout>
          <c:xMode val="edge"/>
          <c:yMode val="edge"/>
          <c:x val="0.11531714785651793"/>
          <c:y val="7.407407407407407E-2"/>
          <c:w val="0.84023840769903757"/>
          <c:h val="0.7474291706527338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92D05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DATA!$U$9:$W$9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DATA!$R$16:$T$16</c:f>
              <c:numCache>
                <c:formatCode>"$"#,##0_);[Red]\("$"#,##0\)</c:formatCode>
                <c:ptCount val="3"/>
                <c:pt idx="0">
                  <c:v>102</c:v>
                </c:pt>
                <c:pt idx="1">
                  <c:v>100</c:v>
                </c:pt>
                <c:pt idx="2">
                  <c:v>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FF6-4CE0-9919-58C7880A56D9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DATA!$U$9:$W$9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DATA!$U$16:$W$16</c:f>
              <c:numCache>
                <c:formatCode>"$"#,##0_);[Red]\("$"#,##0\)</c:formatCode>
                <c:ptCount val="3"/>
                <c:pt idx="0">
                  <c:v>102</c:v>
                </c:pt>
                <c:pt idx="1">
                  <c:v>91</c:v>
                </c:pt>
                <c:pt idx="2">
                  <c:v>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FF6-4CE0-9919-58C7880A5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7569887"/>
        <c:axId val="1153895674"/>
      </c:barChart>
      <c:catAx>
        <c:axId val="1847569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3895674"/>
        <c:crosses val="autoZero"/>
        <c:auto val="1"/>
        <c:lblAlgn val="ctr"/>
        <c:lblOffset val="100"/>
        <c:noMultiLvlLbl val="1"/>
      </c:catAx>
      <c:valAx>
        <c:axId val="1153895674"/>
        <c:scaling>
          <c:orientation val="minMax"/>
          <c:max val="12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_);[Red]\(#,##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756988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 algn="ctr" rtl="0">
              <a:def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rPr>
              <a:t>Average Revenue Per Cust. compared to
 previous  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5699177024158537"/>
          <c:y val="0.18191634136153334"/>
          <c:w val="0.79538561073604341"/>
          <c:h val="0.59937988971495193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0070C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DATA!$AJ$16:$AL$16</c:f>
              <c:numCache>
                <c:formatCode>"$"#,##0_);[Red]\("$"#,##0\)</c:formatCode>
                <c:ptCount val="3"/>
                <c:pt idx="0">
                  <c:v>13545.08</c:v>
                </c:pt>
                <c:pt idx="1">
                  <c:v>14273.54</c:v>
                </c:pt>
                <c:pt idx="2">
                  <c:v>12857.880000000001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1A9-4B19-8057-637AE2FB9D2E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DATA!$AM$16:$AO$16</c:f>
              <c:numCache>
                <c:formatCode>"$"#,##0_);[Red]\("$"#,##0\)</c:formatCode>
                <c:ptCount val="3"/>
                <c:pt idx="0">
                  <c:v>12200</c:v>
                </c:pt>
                <c:pt idx="1">
                  <c:v>13100</c:v>
                </c:pt>
                <c:pt idx="2">
                  <c:v>11490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1A9-4B19-8057-637AE2FB9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1950897"/>
        <c:axId val="1458556481"/>
      </c:barChart>
      <c:catAx>
        <c:axId val="14719508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8556481"/>
        <c:crosses val="autoZero"/>
        <c:auto val="1"/>
        <c:lblAlgn val="ctr"/>
        <c:lblOffset val="100"/>
        <c:noMultiLvlLbl val="1"/>
      </c:catAx>
      <c:valAx>
        <c:axId val="1458556481"/>
        <c:scaling>
          <c:orientation val="minMax"/>
          <c:max val="40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1950897"/>
        <c:crosses val="autoZero"/>
        <c:crossBetween val="between"/>
        <c:majorUnit val="1000"/>
      </c:valAx>
    </c:plotArea>
    <c:legend>
      <c:legendPos val="r"/>
      <c:layout>
        <c:manualLayout>
          <c:xMode val="edge"/>
          <c:yMode val="edge"/>
          <c:x val="0.18356329474072891"/>
          <c:y val="0.84815486993345435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ln>
      <a:gradFill>
        <a:gsLst>
          <a:gs pos="0">
            <a:schemeClr val="accent1">
              <a:lumMod val="5000"/>
              <a:lumOff val="95000"/>
            </a:schemeClr>
          </a:gs>
          <a:gs pos="74000">
            <a:schemeClr val="accent1">
              <a:lumMod val="45000"/>
              <a:lumOff val="55000"/>
            </a:schemeClr>
          </a:gs>
          <a:gs pos="83000">
            <a:schemeClr val="accent1">
              <a:lumMod val="45000"/>
              <a:lumOff val="55000"/>
            </a:schemeClr>
          </a:gs>
          <a:gs pos="100000">
            <a:schemeClr val="accent1">
              <a:lumMod val="30000"/>
              <a:lumOff val="70000"/>
            </a:schemeClr>
          </a:gs>
        </a:gsLst>
        <a:lin ang="5400000" scaled="1"/>
      </a:gra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 algn="ctr" rtl="0">
              <a:def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rPr>
              <a:t>Customer Acquisition costs comp. to prev.year</a:t>
            </a:r>
          </a:p>
        </c:rich>
      </c:tx>
      <c:layout>
        <c:manualLayout>
          <c:xMode val="edge"/>
          <c:yMode val="edge"/>
          <c:x val="0.17013387145702263"/>
          <c:y val="1.748633879781420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955591606325591"/>
          <c:y val="0.15477784949012519"/>
          <c:w val="0.76143183107136736"/>
          <c:h val="0.57642166860290001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FFFF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DATA!$AA$9:$AC$9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DATA!$AA$16:$AC$16</c:f>
              <c:numCache>
                <c:formatCode>"$"#,##0_);[Red]\("$"#,##0\)</c:formatCode>
                <c:ptCount val="3"/>
                <c:pt idx="0">
                  <c:v>1969.1</c:v>
                </c:pt>
                <c:pt idx="1">
                  <c:v>1818.1799999999998</c:v>
                </c:pt>
                <c:pt idx="2">
                  <c:v>1643.4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D84-458D-B181-F2353AE7057A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DATA!$AA$9:$AC$9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DATA!$AG$16:$AI$16</c:f>
              <c:numCache>
                <c:formatCode>"$"#,##0_);[Red]\("$"#,##0\)</c:formatCode>
                <c:ptCount val="3"/>
                <c:pt idx="0">
                  <c:v>1935</c:v>
                </c:pt>
                <c:pt idx="1">
                  <c:v>1855</c:v>
                </c:pt>
                <c:pt idx="2">
                  <c:v>1890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D84-458D-B181-F2353AE70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9299445"/>
        <c:axId val="1987295265"/>
      </c:barChart>
      <c:catAx>
        <c:axId val="4392994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87295265"/>
        <c:crosses val="autoZero"/>
        <c:auto val="1"/>
        <c:lblAlgn val="ctr"/>
        <c:lblOffset val="100"/>
        <c:noMultiLvlLbl val="1"/>
      </c:catAx>
      <c:valAx>
        <c:axId val="1987295265"/>
        <c:scaling>
          <c:orientation val="minMax"/>
          <c:max val="6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9299445"/>
        <c:crosses val="autoZero"/>
        <c:crossBetween val="between"/>
        <c:majorUnit val="100"/>
        <c:minorUnit val="2"/>
      </c:valAx>
    </c:plotArea>
    <c:legend>
      <c:legendPos val="r"/>
      <c:layout>
        <c:manualLayout>
          <c:xMode val="edge"/>
          <c:yMode val="edge"/>
          <c:x val="0.26578902269569249"/>
          <c:y val="0.91467542590873918"/>
        </c:manualLayout>
      </c:layout>
      <c:overlay val="0"/>
      <c:txPr>
        <a:bodyPr/>
        <a:lstStyle/>
        <a:p>
          <a:pPr lvl="0">
            <a:defRPr sz="900" b="1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1333500</xdr:colOff>
      <xdr:row>3</xdr:row>
      <xdr:rowOff>123825</xdr:rowOff>
    </xdr:from>
    <xdr:ext cx="3857625" cy="2733675"/>
    <xdr:graphicFrame macro="">
      <xdr:nvGraphicFramePr>
        <xdr:cNvPr id="440490215" name="Chart 1" descr="vdfv&#10;">
          <a:extLst>
            <a:ext uri="{FF2B5EF4-FFF2-40B4-BE49-F238E27FC236}">
              <a16:creationId xmlns:a16="http://schemas.microsoft.com/office/drawing/2014/main" id="{00000000-0008-0000-0100-0000E7584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1181100</xdr:colOff>
      <xdr:row>3</xdr:row>
      <xdr:rowOff>76200</xdr:rowOff>
    </xdr:from>
    <xdr:ext cx="3743325" cy="2790825"/>
    <xdr:graphicFrame macro="">
      <xdr:nvGraphicFramePr>
        <xdr:cNvPr id="1944029326" name="Chart 2">
          <a:extLst>
            <a:ext uri="{FF2B5EF4-FFF2-40B4-BE49-F238E27FC236}">
              <a16:creationId xmlns:a16="http://schemas.microsoft.com/office/drawing/2014/main" id="{00000000-0008-0000-0100-00008E88D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1333500</xdr:colOff>
      <xdr:row>19</xdr:row>
      <xdr:rowOff>76200</xdr:rowOff>
    </xdr:from>
    <xdr:ext cx="3848100" cy="2952750"/>
    <xdr:graphicFrame macro="">
      <xdr:nvGraphicFramePr>
        <xdr:cNvPr id="653455794" name="Chart 3">
          <a:extLst>
            <a:ext uri="{FF2B5EF4-FFF2-40B4-BE49-F238E27FC236}">
              <a16:creationId xmlns:a16="http://schemas.microsoft.com/office/drawing/2014/main" id="{00000000-0008-0000-0100-0000B2F1F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11</xdr:col>
      <xdr:colOff>0</xdr:colOff>
      <xdr:row>19</xdr:row>
      <xdr:rowOff>95250</xdr:rowOff>
    </xdr:from>
    <xdr:ext cx="3790950" cy="2905125"/>
    <xdr:graphicFrame macro="">
      <xdr:nvGraphicFramePr>
        <xdr:cNvPr id="135739941" name="Chart 4">
          <a:extLst>
            <a:ext uri="{FF2B5EF4-FFF2-40B4-BE49-F238E27FC236}">
              <a16:creationId xmlns:a16="http://schemas.microsoft.com/office/drawing/2014/main" id="{00000000-0008-0000-0100-0000253A1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R1000"/>
  <sheetViews>
    <sheetView zoomScale="70" zoomScaleNormal="70" workbookViewId="0">
      <selection activeCell="E9" sqref="E9"/>
    </sheetView>
  </sheetViews>
  <sheetFormatPr defaultRowHeight="15" customHeight="1"/>
  <cols>
    <col min="2" max="2" width="49.33203125" bestFit="1" customWidth="1"/>
    <col min="3" max="4" width="17" bestFit="1" customWidth="1"/>
    <col min="5" max="5" width="20.109375" customWidth="1"/>
    <col min="6" max="7" width="17" bestFit="1" customWidth="1"/>
    <col min="8" max="8" width="18.5546875" customWidth="1"/>
    <col min="9" max="10" width="17" bestFit="1" customWidth="1"/>
    <col min="11" max="11" width="18.33203125" customWidth="1"/>
    <col min="12" max="14" width="18" bestFit="1" customWidth="1"/>
    <col min="15" max="17" width="25.6640625" bestFit="1" customWidth="1"/>
    <col min="18" max="20" width="18" bestFit="1" customWidth="1"/>
    <col min="21" max="23" width="25.6640625" bestFit="1" customWidth="1"/>
    <col min="24" max="24" width="18.6640625" bestFit="1" customWidth="1"/>
    <col min="25" max="25" width="16.109375" bestFit="1" customWidth="1"/>
    <col min="26" max="26" width="17.5546875" customWidth="1"/>
    <col min="27" max="27" width="18.5546875" bestFit="1" customWidth="1"/>
    <col min="28" max="28" width="16.88671875" bestFit="1" customWidth="1"/>
    <col min="29" max="29" width="18.6640625" customWidth="1"/>
    <col min="30" max="32" width="23.88671875" bestFit="1" customWidth="1"/>
    <col min="33" max="35" width="26.6640625" bestFit="1" customWidth="1"/>
    <col min="36" max="36" width="20.6640625" bestFit="1" customWidth="1"/>
    <col min="37" max="37" width="16.109375" bestFit="1" customWidth="1"/>
    <col min="38" max="38" width="18.109375" customWidth="1"/>
    <col min="39" max="41" width="20.6640625" bestFit="1" customWidth="1"/>
    <col min="42" max="44" width="22.109375" bestFit="1" customWidth="1"/>
  </cols>
  <sheetData>
    <row r="1" spans="2:44" ht="15.6">
      <c r="H1" s="25" t="s">
        <v>25</v>
      </c>
    </row>
    <row r="2" spans="2:44" ht="15.6">
      <c r="H2" s="25" t="s">
        <v>29</v>
      </c>
    </row>
    <row r="3" spans="2:44" ht="15.6">
      <c r="H3" s="25" t="s">
        <v>33</v>
      </c>
    </row>
    <row r="4" spans="2:44" ht="16.2" thickBot="1">
      <c r="H4" s="25" t="s">
        <v>37</v>
      </c>
    </row>
    <row r="5" spans="2:44" ht="26.4" thickBot="1">
      <c r="B5" s="1" t="s">
        <v>0</v>
      </c>
      <c r="E5" s="26" t="str">
        <f>DASHBOARD!D2</f>
        <v>Q3 2023</v>
      </c>
    </row>
    <row r="6" spans="2:44" thickBot="1"/>
    <row r="7" spans="2:44" ht="17.399999999999999"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</row>
    <row r="8" spans="2:44" ht="18" thickBot="1">
      <c r="B8" s="31"/>
      <c r="C8" s="39" t="s">
        <v>1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</row>
    <row r="9" spans="2:44" ht="44.25" customHeight="1" thickBot="1">
      <c r="B9" s="32"/>
      <c r="C9" s="34" t="str" cm="1">
        <f t="array" ref="C9">_xlfn.SWITCH($E$5,$H$1,C28,$H$2,C40,$H$3,C52,$H$4,C64)</f>
        <v>July</v>
      </c>
      <c r="D9" s="34" t="str" cm="1">
        <f t="array" ref="D9">_xlfn.SWITCH($E$5,$H$1,D28,$H$2,D40,$H$3,D52,$H$4,D64)</f>
        <v>August</v>
      </c>
      <c r="E9" s="34" t="str" cm="1">
        <f t="array" ref="E9">_xlfn.SWITCH($E$5,$H$1,E28,$H$2,E40,$H$3,E52,$H$4,E64)</f>
        <v>September</v>
      </c>
      <c r="F9" s="34" t="str" cm="1">
        <f t="array" ref="F9">_xlfn.SWITCH($E$5,$H$1,F28,$H$2,F40,$H$3,F52,$H$4,F64)</f>
        <v>July</v>
      </c>
      <c r="G9" s="34" t="str" cm="1">
        <f t="array" ref="G9">_xlfn.SWITCH($E$5,$H$1,G28,$H$2,G40,$H$3,G52,$H$4,G64)</f>
        <v>August</v>
      </c>
      <c r="H9" s="34" t="str" cm="1">
        <f t="array" ref="H9">_xlfn.SWITCH($E$5,$H$1,H28,$H$2,H40,$H$3,H52,$H$4,H64)</f>
        <v>September</v>
      </c>
      <c r="I9" s="34" t="str" cm="1">
        <f t="array" ref="I9">_xlfn.SWITCH($E$5,$H$1,I28,$H$2,I40,$H$3,I52,$H$4,I64)</f>
        <v>July</v>
      </c>
      <c r="J9" s="34" t="str" cm="1">
        <f t="array" ref="J9">_xlfn.SWITCH($E$5,$H$1,J28,$H$2,J40,$H$3,J52,$H$4,J64)</f>
        <v>August</v>
      </c>
      <c r="K9" s="34" t="str" cm="1">
        <f t="array" ref="K9">_xlfn.SWITCH($E$5,$H$1,K28,$H$2,K40,$H$3,K52,$H$4,K64)</f>
        <v>September</v>
      </c>
      <c r="L9" s="34" t="str" cm="1">
        <f t="array" ref="L9">_xlfn.SWITCH($E$5,$H$1,L28,$H$2,L40,$H$3,L52,$H$4,L64)</f>
        <v>July</v>
      </c>
      <c r="M9" s="34" t="str" cm="1">
        <f t="array" ref="M9">_xlfn.SWITCH($E$5,$H$1,M28,$H$2,M40,$H$3,M52,$H$4,M64)</f>
        <v>August</v>
      </c>
      <c r="N9" s="34" t="str" cm="1">
        <f t="array" ref="N9">_xlfn.SWITCH($E$5,$H$1,N28,$H$2,N40,$H$3,N52,$H$4,N64)</f>
        <v>September</v>
      </c>
      <c r="O9" s="34" t="str" cm="1">
        <f t="array" ref="O9">_xlfn.SWITCH($E$5,$H$1,O28,$H$2,O40,$H$3,O52,$H$4,O64)</f>
        <v>July</v>
      </c>
      <c r="P9" s="34" t="str" cm="1">
        <f t="array" ref="P9">_xlfn.SWITCH($E$5,$H$1,P28,$H$2,P40,$H$3,P52,$H$4,P64)</f>
        <v>August</v>
      </c>
      <c r="Q9" s="34" t="str" cm="1">
        <f t="array" ref="Q9">_xlfn.SWITCH($E$5,$H$1,Q28,$H$2,Q40,$H$3,Q52,$H$4,Q64)</f>
        <v>September</v>
      </c>
      <c r="R9" s="34" t="str" cm="1">
        <f t="array" ref="R9">_xlfn.SWITCH($E$5,$H$1,R28,$H$2,R40,$H$3,R52,$H$4,R64)</f>
        <v>July</v>
      </c>
      <c r="S9" s="34" t="str" cm="1">
        <f t="array" ref="S9">_xlfn.SWITCH($E$5,$H$1,S28,$H$2,S40,$H$3,S52,$H$4,S64)</f>
        <v>August</v>
      </c>
      <c r="T9" s="34" t="str" cm="1">
        <f t="array" ref="T9">_xlfn.SWITCH($E$5,$H$1,T28,$H$2,T40,$H$3,T52,$H$4,T64)</f>
        <v>September</v>
      </c>
      <c r="U9" s="34" t="str" cm="1">
        <f t="array" ref="U9">_xlfn.SWITCH($E$5,$H$1,U28,$H$2,U40,$H$3,U52,$H$4,U64)</f>
        <v>July</v>
      </c>
      <c r="V9" s="34" t="str" cm="1">
        <f t="array" ref="V9">_xlfn.SWITCH($E$5,$H$1,V28,$H$2,V40,$H$3,V52,$H$4,V64)</f>
        <v>August</v>
      </c>
      <c r="W9" s="34" t="str" cm="1">
        <f t="array" ref="W9">_xlfn.SWITCH($E$5,$H$1,W28,$H$2,W40,$H$3,W52,$H$4,W64)</f>
        <v>September</v>
      </c>
      <c r="X9" s="34" t="str" cm="1">
        <f t="array" ref="X9">_xlfn.SWITCH($E$5,$H$1,X28,$H$2,X40,$H$3,X52,$H$4,X64)</f>
        <v>July</v>
      </c>
      <c r="Y9" s="34" t="str" cm="1">
        <f t="array" ref="Y9">_xlfn.SWITCH($E$5,$H$1,Y28,$H$2,Y40,$H$3,Y52,$H$4,Y64)</f>
        <v>August</v>
      </c>
      <c r="Z9" s="34" t="str" cm="1">
        <f t="array" ref="Z9">_xlfn.SWITCH($E$5,$H$1,Z28,$H$2,Z40,$H$3,Z52,$H$4,Z64)</f>
        <v>September</v>
      </c>
      <c r="AA9" s="34" t="str" cm="1">
        <f t="array" ref="AA9">_xlfn.SWITCH($E$5,$H$1,AA28,$H$2,AA40,$H$3,AA52,$H$4,AA64)</f>
        <v>July</v>
      </c>
      <c r="AB9" s="34" t="str" cm="1">
        <f t="array" ref="AB9">_xlfn.SWITCH($E$5,$H$1,AB28,$H$2,AB40,$H$3,AB52,$H$4,AB64)</f>
        <v>August</v>
      </c>
      <c r="AC9" s="34" t="str" cm="1">
        <f t="array" ref="AC9">_xlfn.SWITCH($E$5,$H$1,AC28,$H$2,AC40,$H$3,AC52,$H$4,AC64)</f>
        <v>September</v>
      </c>
      <c r="AD9" s="34" t="str" cm="1">
        <f t="array" ref="AD9">_xlfn.SWITCH($E$5,$H$1,AD28,$H$2,AD40,$H$3,AD52,$H$4,AD64)</f>
        <v>July</v>
      </c>
      <c r="AE9" s="34" t="str" cm="1">
        <f t="array" ref="AE9">_xlfn.SWITCH($E$5,$H$1,AE28,$H$2,AE40,$H$3,AE52,$H$4,AE64)</f>
        <v>August</v>
      </c>
      <c r="AF9" s="34" t="str" cm="1">
        <f t="array" ref="AF9">_xlfn.SWITCH($E$5,$H$1,AF28,$H$2,AF40,$H$3,AF52,$H$4,AF64)</f>
        <v>September</v>
      </c>
      <c r="AG9" s="34" t="str" cm="1">
        <f t="array" ref="AG9">_xlfn.SWITCH($E$5,$H$1,AG28,$H$2,AG40,$H$3,AG52,$H$4,AG64)</f>
        <v>July</v>
      </c>
      <c r="AH9" s="34" t="str" cm="1">
        <f t="array" ref="AH9">_xlfn.SWITCH($E$5,$H$1,AH28,$H$2,AH40,$H$3,AH52,$H$4,AH64)</f>
        <v>August</v>
      </c>
      <c r="AI9" s="34" t="str" cm="1">
        <f t="array" ref="AI9">_xlfn.SWITCH($E$5,$H$1,AI28,$H$2,AI40,$H$3,AI52,$H$4,AI64)</f>
        <v>September</v>
      </c>
      <c r="AJ9" s="34" t="str" cm="1">
        <f t="array" ref="AJ9">_xlfn.SWITCH($E$5,$H$1,AJ28,$H$2,AJ40,$H$3,AJ52,$H$4,AJ64)</f>
        <v>July</v>
      </c>
      <c r="AK9" s="34" t="str" cm="1">
        <f t="array" ref="AK9">_xlfn.SWITCH($E$5,$H$1,AK28,$H$2,AK40,$H$3,AK52,$H$4,AK64)</f>
        <v>August</v>
      </c>
      <c r="AL9" s="34" t="str" cm="1">
        <f t="array" ref="AL9">_xlfn.SWITCH($E$5,$H$1,AL28,$H$2,AL40,$H$3,AL52,$H$4,AL64)</f>
        <v>September</v>
      </c>
      <c r="AM9" s="34" t="str" cm="1">
        <f t="array" ref="AM9">_xlfn.SWITCH($E$5,$H$1,AM28,$H$2,AM40,$H$3,AM52,$H$4,AM64)</f>
        <v>July</v>
      </c>
      <c r="AN9" s="34" t="str" cm="1">
        <f t="array" ref="AN9">_xlfn.SWITCH($E$5,$H$1,AN28,$H$2,AN40,$H$3,AN52,$H$4,AN64)</f>
        <v>August</v>
      </c>
      <c r="AO9" s="34" t="str" cm="1">
        <f t="array" ref="AO9">_xlfn.SWITCH($E$5,$H$1,AO28,$H$2,AO40,$H$3,AO52,$H$4,AO64)</f>
        <v>September</v>
      </c>
      <c r="AP9" s="34" t="str" cm="1">
        <f t="array" ref="AP9">_xlfn.SWITCH($E$5,$H$1,AP28,$H$2,AP40,$H$3,AP52,$H$4,AP64)</f>
        <v>July</v>
      </c>
      <c r="AQ9" s="34" t="str" cm="1">
        <f t="array" ref="AQ9">_xlfn.SWITCH($E$5,$H$1,AQ28,$H$2,AQ40,$H$3,AQ52,$H$4,AQ64)</f>
        <v>August</v>
      </c>
      <c r="AR9" s="34" t="str" cm="1">
        <f t="array" ref="AR9">_xlfn.SWITCH($E$5,$H$1,AR28,$H$2,AR40,$H$3,AR52,$H$4,AR64)</f>
        <v>September</v>
      </c>
    </row>
    <row r="10" spans="2:44" ht="87" customHeight="1">
      <c r="B10" s="33"/>
      <c r="C10" s="34" t="s">
        <v>5</v>
      </c>
      <c r="D10" s="34" t="str" cm="1">
        <f t="array" ref="D10">_xlfn.SWITCH($E$5,$H$1,D29,$H$2,D41,$H$3,D53,$H$4,D65)</f>
        <v>Revenue</v>
      </c>
      <c r="E10" s="34" t="str" cm="1">
        <f t="array" ref="E10">_xlfn.SWITCH($E$5,$H$1,E29,$H$2,E41,$H$3,E53,$H$4,E65)</f>
        <v>Revenue</v>
      </c>
      <c r="F10" s="34" t="str" cm="1">
        <f t="array" ref="F10">_xlfn.SWITCH($E$5,$H$1,F29,$H$2,F41,$H$3,F53,$H$4,F65)</f>
        <v>Target Revenue</v>
      </c>
      <c r="G10" s="34" t="str" cm="1">
        <f t="array" ref="G10">_xlfn.SWITCH($E$5,$H$1,G29,$H$2,G41,$H$3,G53,$H$4,G65)</f>
        <v>Target Revenue</v>
      </c>
      <c r="H10" s="34" t="str" cm="1">
        <f t="array" ref="H10">_xlfn.SWITCH($E$5,$H$1,H29,$H$2,H41,$H$3,H53,$H$4,H65)</f>
        <v>Target Revenue</v>
      </c>
      <c r="I10" s="34" t="str" cm="1">
        <f t="array" ref="I10">_xlfn.SWITCH($E$5,$H$1,I29,$H$2,I41,$H$3,I53,$H$4,I65)</f>
        <v>Previous Year
Revenue</v>
      </c>
      <c r="J10" s="34" t="str" cm="1">
        <f t="array" ref="J10">_xlfn.SWITCH($E$5,$H$1,J29,$H$2,J41,$H$3,J53,$H$4,J65)</f>
        <v>Previous Year
Revenue</v>
      </c>
      <c r="K10" s="34" t="str" cm="1">
        <f t="array" ref="K10">_xlfn.SWITCH($E$5,$H$1,K29,$H$2,K41,$H$3,K53,$H$4,K65)</f>
        <v>Previous Year
Revenue</v>
      </c>
      <c r="L10" s="34" t="str" cm="1">
        <f t="array" ref="L10">_xlfn.SWITCH($E$5,$H$1,L29,$H$2,L41,$H$3,L53,$H$4,L65)</f>
        <v>Number of
Customers</v>
      </c>
      <c r="M10" s="34" t="str" cm="1">
        <f t="array" ref="M10">_xlfn.SWITCH($E$5,$H$1,M29,$H$2,M41,$H$3,M53,$H$4,M65)</f>
        <v>Number of
Customers</v>
      </c>
      <c r="N10" s="34" t="str" cm="1">
        <f t="array" ref="N10">_xlfn.SWITCH($E$5,$H$1,N29,$H$2,N41,$H$3,N53,$H$4,N65)</f>
        <v>Number of
Customers</v>
      </c>
      <c r="O10" s="34" t="str" cm="1">
        <f t="array" ref="O10">_xlfn.SWITCH($E$5,$H$1,O29,$H$2,O41,$H$3,O53,$H$4,O65)</f>
        <v>Number of
New Customers
Target</v>
      </c>
      <c r="P10" s="34" t="str" cm="1">
        <f t="array" ref="P10">_xlfn.SWITCH($E$5,$H$1,P29,$H$2,P41,$H$3,P53,$H$4,P65)</f>
        <v>Number of
New Customers
Target</v>
      </c>
      <c r="Q10" s="34" t="str" cm="1">
        <f t="array" ref="Q10">_xlfn.SWITCH($E$5,$H$1,Q29,$H$2,Q41,$H$3,Q53,$H$4,Q65)</f>
        <v>Number of
New Customers
Target</v>
      </c>
      <c r="R10" s="34" t="str" cm="1">
        <f t="array" ref="R10">_xlfn.SWITCH($E$5,$H$1,R29,$H$2,R41,$H$3,R53,$H$4,R65)</f>
        <v>Number of
New Customers</v>
      </c>
      <c r="S10" s="34" t="str" cm="1">
        <f t="array" ref="S10">_xlfn.SWITCH($E$5,$H$1,S29,$H$2,S41,$H$3,S53,$H$4,S65)</f>
        <v>Number of
New Customers</v>
      </c>
      <c r="T10" s="34" t="str" cm="1">
        <f t="array" ref="T10">_xlfn.SWITCH($E$5,$H$1,T29,$H$2,T41,$H$3,T53,$H$4,T65)</f>
        <v>Number of
New Customers</v>
      </c>
      <c r="U10" s="34" t="str" cm="1">
        <f t="array" ref="U10">_xlfn.SWITCH($E$5,$H$1,U29,$H$2,U41,$H$3,U53,$H$4,U65)</f>
        <v>Number of
New Customers
Previous Year</v>
      </c>
      <c r="V10" s="34" t="str" cm="1">
        <f t="array" ref="V10">_xlfn.SWITCH($E$5,$H$1,V29,$H$2,V41,$H$3,V53,$H$4,V65)</f>
        <v>Number of
New Customers
Previous Year</v>
      </c>
      <c r="W10" s="34" t="str" cm="1">
        <f t="array" ref="W10">_xlfn.SWITCH($E$5,$H$1,W29,$H$2,W41,$H$3,W53,$H$4,W65)</f>
        <v>Number of
New Customers
Previous Year</v>
      </c>
      <c r="X10" s="34" t="str" cm="1">
        <f t="array" ref="X10">_xlfn.SWITCH($E$5,$H$1,X29,$H$2,X41,$H$3,X53,$H$4,X65)</f>
        <v>Customer Acquisition Costs</v>
      </c>
      <c r="Y10" s="34" t="str" cm="1">
        <f t="array" ref="Y10">_xlfn.SWITCH($E$5,$H$1,Y29,$H$2,Y41,$H$3,Y53,$H$4,Y65)</f>
        <v>Customer Acquisition Costs</v>
      </c>
      <c r="Z10" s="34" t="str" cm="1">
        <f t="array" ref="Z10">_xlfn.SWITCH($E$5,$H$1,Z29,$H$2,Z41,$H$3,Z53,$H$4,Z65)</f>
        <v>Customer Acquisition Costs</v>
      </c>
      <c r="AA10" s="34" t="str" cm="1">
        <f t="array" ref="AA10">_xlfn.SWITCH($E$5,$H$1,AA29,$H$2,AA41,$H$3,AA53,$H$4,AA65)</f>
        <v>Customer AC (per customer)</v>
      </c>
      <c r="AB10" s="34" t="str" cm="1">
        <f t="array" ref="AB10">_xlfn.SWITCH($E$5,$H$1,AB29,$H$2,AB41,$H$3,AB53,$H$4,AB65)</f>
        <v>Customer AC (per customer)</v>
      </c>
      <c r="AC10" s="34" t="str" cm="1">
        <f t="array" ref="AC10">_xlfn.SWITCH($E$5,$H$1,AC29,$H$2,AC41,$H$3,AC53,$H$4,AC65)</f>
        <v>Customer AC (per customer)</v>
      </c>
      <c r="AD10" s="34" t="str" cm="1">
        <f t="array" ref="AD10">_xlfn.SWITCH($E$5,$H$1,AD29,$H$2,AD41,$H$3,AD53,$H$4,AD65)</f>
        <v>Customer AC (per customer) Target</v>
      </c>
      <c r="AE10" s="34" t="str" cm="1">
        <f t="array" ref="AE10">_xlfn.SWITCH($E$5,$H$1,AE29,$H$2,AE41,$H$3,AE53,$H$4,AE65)</f>
        <v>Customer AC (per customer) Target</v>
      </c>
      <c r="AF10" s="34" t="str" cm="1">
        <f t="array" ref="AF10">_xlfn.SWITCH($E$5,$H$1,AF29,$H$2,AF41,$H$3,AF53,$H$4,AF65)</f>
        <v>Customer AC (per customer) Target</v>
      </c>
      <c r="AG10" s="34" t="str" cm="1">
        <f t="array" ref="AG10">_xlfn.SWITCH($E$5,$H$1,AG29,$H$2,AG41,$H$3,AG53,$H$4,AG65)</f>
        <v>Customer Aquis. Costs (per customer) PY</v>
      </c>
      <c r="AH10" s="34" t="str" cm="1">
        <f t="array" ref="AH10">_xlfn.SWITCH($E$5,$H$1,AH29,$H$2,AH41,$H$3,AH53,$H$4,AH65)</f>
        <v>Customer Aquis. Costs (per customer) PY</v>
      </c>
      <c r="AI10" s="34" t="str" cm="1">
        <f t="array" ref="AI10">_xlfn.SWITCH($E$5,$H$1,AI29,$H$2,AI41,$H$3,AI53,$H$4,AI65)</f>
        <v>Customer Aquis. Costs (per customer) PY</v>
      </c>
      <c r="AJ10" s="34" t="str" cm="1">
        <f t="array" ref="AJ10">_xlfn.SWITCH($E$5,$H$1,AJ29,$H$2,AJ41,$H$3,AJ53,$H$4,AJ65)</f>
        <v>Revenue per
Customer</v>
      </c>
      <c r="AK10" s="34" t="str" cm="1">
        <f t="array" ref="AK10">_xlfn.SWITCH($E$5,$H$1,AK29,$H$2,AK41,$H$3,AK53,$H$4,AK65)</f>
        <v>Revenue per
Customer</v>
      </c>
      <c r="AL10" s="34" t="str" cm="1">
        <f t="array" ref="AL10">_xlfn.SWITCH($E$5,$H$1,AL29,$H$2,AL41,$H$3,AL53,$H$4,AL65)</f>
        <v>Revenue per
Customer</v>
      </c>
      <c r="AM10" s="34" t="str" cm="1">
        <f t="array" ref="AM10">_xlfn.SWITCH($E$5,$H$1,AM29,$H$2,AM41,$H$3,AM53,$H$4,AM65)</f>
        <v>Revenue per
Customer PY</v>
      </c>
      <c r="AN10" s="34" t="str" cm="1">
        <f t="array" ref="AN10">_xlfn.SWITCH($E$5,$H$1,AN29,$H$2,AN41,$H$3,AN53,$H$4,AN65)</f>
        <v>Revenue per
Customer PY</v>
      </c>
      <c r="AO10" s="34" t="str" cm="1">
        <f t="array" ref="AO10">_xlfn.SWITCH($E$5,$H$1,AO29,$H$2,AO41,$H$3,AO53,$H$4,AO65)</f>
        <v>Revenue per
Customer PY</v>
      </c>
      <c r="AP10" s="34" t="str" cm="1">
        <f t="array" ref="AP10">_xlfn.SWITCH($E$5,$H$1,AP29,$H$2,AP41,$H$3,AP53,$H$4,AP65)</f>
        <v>Target Revenue
per Customer</v>
      </c>
      <c r="AQ10" s="34" t="str" cm="1">
        <f t="array" ref="AQ10">_xlfn.SWITCH($E$5,$H$1,AQ29,$H$2,AQ41,$H$3,AQ53,$H$4,AQ65)</f>
        <v>Target Revenue
per Customer</v>
      </c>
      <c r="AR10" s="34" t="str" cm="1">
        <f t="array" ref="AR10">_xlfn.SWITCH($E$5,$H$1,AR29,$H$2,AR41,$H$3,AR53,$H$4,AR65)</f>
        <v>Target Revenue
per Customer</v>
      </c>
    </row>
    <row r="11" spans="2:44" ht="17.399999999999999">
      <c r="B11" s="2" t="s">
        <v>19</v>
      </c>
      <c r="C11" s="3" cm="1">
        <f t="array" ref="C11">_xlfn.SWITCH($E$5,$H$1,C30,$H$2,C42,$H$3,C54,$H$4,C66)</f>
        <v>150000</v>
      </c>
      <c r="D11" s="3" cm="1">
        <f t="array" ref="D11">_xlfn.SWITCH($E$5,$H$1,D30,$H$2,D42,$H$3,D54,$H$4,D66)</f>
        <v>145000</v>
      </c>
      <c r="E11" s="3" cm="1">
        <f t="array" ref="E11">_xlfn.SWITCH($E$5,$H$1,E30,$H$2,E42,$H$3,E54,$H$4,E66)</f>
        <v>145000</v>
      </c>
      <c r="F11" s="3" cm="1">
        <f t="array" ref="F11">_xlfn.SWITCH($E$5,$H$1,F30,$H$2,F42,$H$3,F54,$H$4,F66)</f>
        <v>160000</v>
      </c>
      <c r="G11" s="3" cm="1">
        <f t="array" ref="G11">_xlfn.SWITCH($E$5,$H$1,G30,$H$2,G42,$H$3,G54,$H$4,G66)</f>
        <v>145000</v>
      </c>
      <c r="H11" s="3" cm="1">
        <f t="array" ref="H11">_xlfn.SWITCH($E$5,$H$1,H30,$H$2,H42,$H$3,H54,$H$4,H66)</f>
        <v>160000</v>
      </c>
      <c r="I11" s="3" cm="1">
        <f t="array" ref="I11">_xlfn.SWITCH($E$5,$H$1,I30,$H$2,I42,$H$3,I54,$H$4,I66)</f>
        <v>160000</v>
      </c>
      <c r="J11" s="3" cm="1">
        <f t="array" ref="J11">_xlfn.SWITCH($E$5,$H$1,J30,$H$2,J42,$H$3,J54,$H$4,J66)</f>
        <v>125000</v>
      </c>
      <c r="K11" s="3" cm="1">
        <f t="array" ref="K11">_xlfn.SWITCH($E$5,$H$1,K30,$H$2,K42,$H$3,K54,$H$4,K66)</f>
        <v>145000</v>
      </c>
      <c r="L11" s="27" cm="1">
        <f t="array" ref="L11">_xlfn.SWITCH($E$5,$H$1,L30,$H$2,L42,$H$3,L54,$H$4,L66)</f>
        <v>55</v>
      </c>
      <c r="M11" s="27" cm="1">
        <f t="array" ref="M11">_xlfn.SWITCH($E$5,$H$1,M30,$H$2,M42,$H$3,M54,$H$4,M66)</f>
        <v>55</v>
      </c>
      <c r="N11" s="27" cm="1">
        <f t="array" ref="N11">_xlfn.SWITCH($E$5,$H$1,N30,$H$2,N42,$H$3,N54,$H$4,N66)</f>
        <v>60</v>
      </c>
      <c r="O11" s="27" cm="1">
        <f t="array" ref="O11">_xlfn.SWITCH($E$5,$H$1,O30,$H$2,O42,$H$3,O54,$H$4,O66)</f>
        <v>20</v>
      </c>
      <c r="P11" s="27" cm="1">
        <f t="array" ref="P11">_xlfn.SWITCH($E$5,$H$1,P30,$H$2,P42,$H$3,P54,$H$4,P66)</f>
        <v>25</v>
      </c>
      <c r="Q11" s="27" cm="1">
        <f t="array" ref="Q11">_xlfn.SWITCH($E$5,$H$1,Q30,$H$2,Q42,$H$3,Q54,$H$4,Q66)</f>
        <v>35</v>
      </c>
      <c r="R11" s="27" cm="1">
        <f t="array" ref="R11">_xlfn.SWITCH($E$5,$H$1,R30,$H$2,R42,$H$3,R54,$H$4,R66)</f>
        <v>14</v>
      </c>
      <c r="S11" s="27" cm="1">
        <f t="array" ref="S11">_xlfn.SWITCH($E$5,$H$1,S30,$H$2,S42,$H$3,S54,$H$4,S66)</f>
        <v>18</v>
      </c>
      <c r="T11" s="27" cm="1">
        <f t="array" ref="T11">_xlfn.SWITCH($E$5,$H$1,T30,$H$2,T42,$H$3,T54,$H$4,T66)</f>
        <v>17</v>
      </c>
      <c r="U11" s="27" cm="1">
        <f t="array" ref="U11">_xlfn.SWITCH($E$5,$H$1,U30,$H$2,U42,$H$3,U54,$H$4,U66)</f>
        <v>21</v>
      </c>
      <c r="V11" s="27" cm="1">
        <f t="array" ref="V11">_xlfn.SWITCH($E$5,$H$1,V30,$H$2,V42,$H$3,V54,$H$4,V66)</f>
        <v>15</v>
      </c>
      <c r="W11" s="27" cm="1">
        <f t="array" ref="W11">_xlfn.SWITCH($E$5,$H$1,W30,$H$2,W42,$H$3,W54,$H$4,W66)</f>
        <v>11</v>
      </c>
      <c r="X11" s="3" cm="1">
        <f t="array" ref="X11">_xlfn.SWITCH($E$5,$H$1,X30,$H$2,X42,$H$3,X54,$H$4,X66)</f>
        <v>8000</v>
      </c>
      <c r="Y11" s="3" cm="1">
        <f t="array" ref="Y11">_xlfn.SWITCH($E$5,$H$1,Y30,$H$2,Y42,$H$3,Y54,$H$4,Y66)</f>
        <v>6000</v>
      </c>
      <c r="Z11" s="3" cm="1">
        <f t="array" ref="Z11">_xlfn.SWITCH($E$5,$H$1,Z30,$H$2,Z42,$H$3,Z54,$H$4,Z66)</f>
        <v>4000</v>
      </c>
      <c r="AA11" s="3" cm="1">
        <f t="array" ref="AA11">_xlfn.SWITCH($E$5,$H$1,AA30,$H$2,AA42,$H$3,AA54,$H$4,AA66)</f>
        <v>571.42999999999995</v>
      </c>
      <c r="AB11" s="3" cm="1">
        <f t="array" ref="AB11">_xlfn.SWITCH($E$5,$H$1,AB30,$H$2,AB42,$H$3,AB54,$H$4,AB66)</f>
        <v>333.33</v>
      </c>
      <c r="AC11" s="3" cm="1">
        <f t="array" ref="AC11">_xlfn.SWITCH($E$5,$H$1,AC30,$H$2,AC42,$H$3,AC54,$H$4,AC66)</f>
        <v>235.29</v>
      </c>
      <c r="AD11" s="3" cm="1">
        <f t="array" ref="AD11">_xlfn.SWITCH($E$5,$H$1,AD30,$H$2,AD42,$H$3,AD54,$H$4,AD66)</f>
        <v>350</v>
      </c>
      <c r="AE11" s="3" cm="1">
        <f t="array" ref="AE11">_xlfn.SWITCH($E$5,$H$1,AE30,$H$2,AE42,$H$3,AE54,$H$4,AE66)</f>
        <v>450</v>
      </c>
      <c r="AF11" s="3" cm="1">
        <f t="array" ref="AF11">_xlfn.SWITCH($E$5,$H$1,AF30,$H$2,AF42,$H$3,AF54,$H$4,AF66)</f>
        <v>350</v>
      </c>
      <c r="AG11" s="3" cm="1">
        <f t="array" ref="AG11">_xlfn.SWITCH($E$5,$H$1,AG30,$H$2,AG42,$H$3,AG54,$H$4,AG66)</f>
        <v>400</v>
      </c>
      <c r="AH11" s="3" cm="1">
        <f t="array" ref="AH11">_xlfn.SWITCH($E$5,$H$1,AH30,$H$2,AH42,$H$3,AH54,$H$4,AH66)</f>
        <v>385</v>
      </c>
      <c r="AI11" s="3" cm="1">
        <f t="array" ref="AI11">_xlfn.SWITCH($E$5,$H$1,AI30,$H$2,AI42,$H$3,AI54,$H$4,AI66)</f>
        <v>390</v>
      </c>
      <c r="AJ11" s="3" cm="1">
        <f t="array" ref="AJ11">_xlfn.SWITCH($E$5,$H$1,AJ30,$H$2,AJ42,$H$3,AJ54,$H$4,AJ66)</f>
        <v>2909.09</v>
      </c>
      <c r="AK11" s="3" cm="1">
        <f t="array" ref="AK11">_xlfn.SWITCH($E$5,$H$1,AK30,$H$2,AK42,$H$3,AK54,$H$4,AK66)</f>
        <v>2636.36</v>
      </c>
      <c r="AL11" s="3" cm="1">
        <f t="array" ref="AL11">_xlfn.SWITCH($E$5,$H$1,AL30,$H$2,AL42,$H$3,AL54,$H$4,AL66)</f>
        <v>2416.67</v>
      </c>
      <c r="AM11" s="3" cm="1">
        <f t="array" ref="AM11">_xlfn.SWITCH($E$5,$H$1,AM30,$H$2,AM42,$H$3,AM54,$H$4,AM66)</f>
        <v>2800</v>
      </c>
      <c r="AN11" s="3" cm="1">
        <f t="array" ref="AN11">_xlfn.SWITCH($E$5,$H$1,AN30,$H$2,AN42,$H$3,AN54,$H$4,AN66)</f>
        <v>2500</v>
      </c>
      <c r="AO11" s="3" cm="1">
        <f t="array" ref="AO11">_xlfn.SWITCH($E$5,$H$1,AO30,$H$2,AO42,$H$3,AO54,$H$4,AO66)</f>
        <v>2300</v>
      </c>
      <c r="AP11" s="3" cm="1">
        <f t="array" ref="AP11">_xlfn.SWITCH($E$5,$H$1,AP30,$H$2,AP42,$H$3,AP54,$H$4,AP66)</f>
        <v>2200</v>
      </c>
      <c r="AQ11" s="3" cm="1">
        <f t="array" ref="AQ11">_xlfn.SWITCH($E$5,$H$1,AQ30,$H$2,AQ42,$H$3,AQ54,$H$4,AQ66)</f>
        <v>2300</v>
      </c>
      <c r="AR11" s="3" cm="1">
        <f t="array" ref="AR11">_xlfn.SWITCH($E$5,$H$1,AR30,$H$2,AR42,$H$3,AR54,$H$4,AR66)</f>
        <v>2500</v>
      </c>
    </row>
    <row r="12" spans="2:44" ht="17.399999999999999">
      <c r="B12" s="2" t="s">
        <v>20</v>
      </c>
      <c r="C12" s="3" cm="1">
        <f t="array" ref="C12">_xlfn.SWITCH($E$5,$H$1,C31,$H$2,C43,$H$3,C55,$H$4,C67)</f>
        <v>185000</v>
      </c>
      <c r="D12" s="3" cm="1">
        <f t="array" ref="D12">_xlfn.SWITCH($E$5,$H$1,D31,$H$2,D43,$H$3,D55,$H$4,D67)</f>
        <v>150000</v>
      </c>
      <c r="E12" s="3" cm="1">
        <f t="array" ref="E12">_xlfn.SWITCH($E$5,$H$1,E31,$H$2,E43,$H$3,E55,$H$4,E67)</f>
        <v>185000</v>
      </c>
      <c r="F12" s="3" cm="1">
        <f t="array" ref="F12">_xlfn.SWITCH($E$5,$H$1,F31,$H$2,F43,$H$3,F55,$H$4,F67)</f>
        <v>160000</v>
      </c>
      <c r="G12" s="3" cm="1">
        <f t="array" ref="G12">_xlfn.SWITCH($E$5,$H$1,G31,$H$2,G43,$H$3,G55,$H$4,G67)</f>
        <v>145000</v>
      </c>
      <c r="H12" s="3" cm="1">
        <f t="array" ref="H12">_xlfn.SWITCH($E$5,$H$1,H31,$H$2,H43,$H$3,H55,$H$4,H67)</f>
        <v>160000</v>
      </c>
      <c r="I12" s="3" cm="1">
        <f t="array" ref="I12">_xlfn.SWITCH($E$5,$H$1,I31,$H$2,I43,$H$3,I55,$H$4,I67)</f>
        <v>125000</v>
      </c>
      <c r="J12" s="3" cm="1">
        <f t="array" ref="J12">_xlfn.SWITCH($E$5,$H$1,J31,$H$2,J43,$H$3,J55,$H$4,J67)</f>
        <v>130000</v>
      </c>
      <c r="K12" s="3" cm="1">
        <f t="array" ref="K12">_xlfn.SWITCH($E$5,$H$1,K31,$H$2,K43,$H$3,K55,$H$4,K67)</f>
        <v>120000</v>
      </c>
      <c r="L12" s="27" cm="1">
        <f t="array" ref="L12">_xlfn.SWITCH($E$5,$H$1,L31,$H$2,L43,$H$3,L55,$H$4,L67)</f>
        <v>56</v>
      </c>
      <c r="M12" s="27" cm="1">
        <f t="array" ref="M12">_xlfn.SWITCH($E$5,$H$1,M31,$H$2,M43,$H$3,M55,$H$4,M67)</f>
        <v>45</v>
      </c>
      <c r="N12" s="27" cm="1">
        <f t="array" ref="N12">_xlfn.SWITCH($E$5,$H$1,N31,$H$2,N43,$H$3,N55,$H$4,N67)</f>
        <v>65</v>
      </c>
      <c r="O12" s="27" cm="1">
        <f t="array" ref="O12">_xlfn.SWITCH($E$5,$H$1,O31,$H$2,O43,$H$3,O55,$H$4,O67)</f>
        <v>20</v>
      </c>
      <c r="P12" s="27" cm="1">
        <f t="array" ref="P12">_xlfn.SWITCH($E$5,$H$1,P31,$H$2,P43,$H$3,P55,$H$4,P67)</f>
        <v>25</v>
      </c>
      <c r="Q12" s="27" cm="1">
        <f t="array" ref="Q12">_xlfn.SWITCH($E$5,$H$1,Q31,$H$2,Q43,$H$3,Q55,$H$4,Q67)</f>
        <v>35</v>
      </c>
      <c r="R12" s="27" cm="1">
        <f t="array" ref="R12">_xlfn.SWITCH($E$5,$H$1,R31,$H$2,R43,$H$3,R55,$H$4,R67)</f>
        <v>15</v>
      </c>
      <c r="S12" s="27" cm="1">
        <f t="array" ref="S12">_xlfn.SWITCH($E$5,$H$1,S31,$H$2,S43,$H$3,S55,$H$4,S67)</f>
        <v>25</v>
      </c>
      <c r="T12" s="27" cm="1">
        <f t="array" ref="T12">_xlfn.SWITCH($E$5,$H$1,T31,$H$2,T43,$H$3,T55,$H$4,T67)</f>
        <v>25</v>
      </c>
      <c r="U12" s="27" cm="1">
        <f t="array" ref="U12">_xlfn.SWITCH($E$5,$H$1,U31,$H$2,U43,$H$3,U55,$H$4,U67)</f>
        <v>14</v>
      </c>
      <c r="V12" s="27" cm="1">
        <f t="array" ref="V12">_xlfn.SWITCH($E$5,$H$1,V31,$H$2,V43,$H$3,V55,$H$4,V67)</f>
        <v>22</v>
      </c>
      <c r="W12" s="27" cm="1">
        <f t="array" ref="W12">_xlfn.SWITCH($E$5,$H$1,W31,$H$2,W43,$H$3,W55,$H$4,W67)</f>
        <v>12</v>
      </c>
      <c r="X12" s="3" cm="1">
        <f t="array" ref="X12">_xlfn.SWITCH($E$5,$H$1,X31,$H$2,X43,$H$3,X55,$H$4,X67)</f>
        <v>5500</v>
      </c>
      <c r="Y12" s="3" cm="1">
        <f t="array" ref="Y12">_xlfn.SWITCH($E$5,$H$1,Y31,$H$2,Y43,$H$3,Y55,$H$4,Y67)</f>
        <v>8500</v>
      </c>
      <c r="Z12" s="3" cm="1">
        <f t="array" ref="Z12">_xlfn.SWITCH($E$5,$H$1,Z31,$H$2,Z43,$H$3,Z55,$H$4,Z67)</f>
        <v>5000</v>
      </c>
      <c r="AA12" s="3" cm="1">
        <f t="array" ref="AA12">_xlfn.SWITCH($E$5,$H$1,AA31,$H$2,AA43,$H$3,AA55,$H$4,AA67)</f>
        <v>366.67</v>
      </c>
      <c r="AB12" s="3" cm="1">
        <f t="array" ref="AB12">_xlfn.SWITCH($E$5,$H$1,AB31,$H$2,AB43,$H$3,AB55,$H$4,AB67)</f>
        <v>340</v>
      </c>
      <c r="AC12" s="3" cm="1">
        <f t="array" ref="AC12">_xlfn.SWITCH($E$5,$H$1,AC31,$H$2,AC43,$H$3,AC55,$H$4,AC67)</f>
        <v>200</v>
      </c>
      <c r="AD12" s="3" cm="1">
        <f t="array" ref="AD12">_xlfn.SWITCH($E$5,$H$1,AD31,$H$2,AD43,$H$3,AD55,$H$4,AD67)</f>
        <v>350</v>
      </c>
      <c r="AE12" s="3" cm="1">
        <f t="array" ref="AE12">_xlfn.SWITCH($E$5,$H$1,AE31,$H$2,AE43,$H$3,AE55,$H$4,AE67)</f>
        <v>450</v>
      </c>
      <c r="AF12" s="3" cm="1">
        <f t="array" ref="AF12">_xlfn.SWITCH($E$5,$H$1,AF31,$H$2,AF43,$H$3,AF55,$H$4,AF67)</f>
        <v>350</v>
      </c>
      <c r="AG12" s="3" cm="1">
        <f t="array" ref="AG12">_xlfn.SWITCH($E$5,$H$1,AG31,$H$2,AG43,$H$3,AG55,$H$4,AG67)</f>
        <v>380</v>
      </c>
      <c r="AH12" s="3" cm="1">
        <f t="array" ref="AH12">_xlfn.SWITCH($E$5,$H$1,AH31,$H$2,AH43,$H$3,AH55,$H$4,AH67)</f>
        <v>400</v>
      </c>
      <c r="AI12" s="3" cm="1">
        <f t="array" ref="AI12">_xlfn.SWITCH($E$5,$H$1,AI31,$H$2,AI43,$H$3,AI55,$H$4,AI67)</f>
        <v>388</v>
      </c>
      <c r="AJ12" s="3" cm="1">
        <f t="array" ref="AJ12">_xlfn.SWITCH($E$5,$H$1,AJ31,$H$2,AJ43,$H$3,AJ55,$H$4,AJ67)</f>
        <v>3303.57</v>
      </c>
      <c r="AK12" s="3" cm="1">
        <f t="array" ref="AK12">_xlfn.SWITCH($E$5,$H$1,AK31,$H$2,AK43,$H$3,AK55,$H$4,AK67)</f>
        <v>3333.33</v>
      </c>
      <c r="AL12" s="3" cm="1">
        <f t="array" ref="AL12">_xlfn.SWITCH($E$5,$H$1,AL31,$H$2,AL43,$H$3,AL55,$H$4,AL67)</f>
        <v>2846.15</v>
      </c>
      <c r="AM12" s="3" cm="1">
        <f t="array" ref="AM12">_xlfn.SWITCH($E$5,$H$1,AM31,$H$2,AM43,$H$3,AM55,$H$4,AM67)</f>
        <v>2500</v>
      </c>
      <c r="AN12" s="3" cm="1">
        <f t="array" ref="AN12">_xlfn.SWITCH($E$5,$H$1,AN31,$H$2,AN43,$H$3,AN55,$H$4,AN67)</f>
        <v>3000</v>
      </c>
      <c r="AO12" s="3" cm="1">
        <f t="array" ref="AO12">_xlfn.SWITCH($E$5,$H$1,AO31,$H$2,AO43,$H$3,AO55,$H$4,AO67)</f>
        <v>2000</v>
      </c>
      <c r="AP12" s="3" cm="1">
        <f t="array" ref="AP12">_xlfn.SWITCH($E$5,$H$1,AP31,$H$2,AP43,$H$3,AP55,$H$4,AP67)</f>
        <v>2200</v>
      </c>
      <c r="AQ12" s="3" cm="1">
        <f t="array" ref="AQ12">_xlfn.SWITCH($E$5,$H$1,AQ31,$H$2,AQ43,$H$3,AQ55,$H$4,AQ67)</f>
        <v>2300</v>
      </c>
      <c r="AR12" s="3" cm="1">
        <f t="array" ref="AR12">_xlfn.SWITCH($E$5,$H$1,AR31,$H$2,AR43,$H$3,AR55,$H$4,AR67)</f>
        <v>2500</v>
      </c>
    </row>
    <row r="13" spans="2:44" ht="17.399999999999999">
      <c r="B13" s="2" t="s">
        <v>21</v>
      </c>
      <c r="C13" s="3" cm="1">
        <f t="array" ref="C13">_xlfn.SWITCH($E$5,$H$1,C32,$H$2,C44,$H$3,C56,$H$4,C68)</f>
        <v>150000</v>
      </c>
      <c r="D13" s="3" cm="1">
        <f t="array" ref="D13">_xlfn.SWITCH($E$5,$H$1,D32,$H$2,D44,$H$3,D56,$H$4,D68)</f>
        <v>125000</v>
      </c>
      <c r="E13" s="3" cm="1">
        <f t="array" ref="E13">_xlfn.SWITCH($E$5,$H$1,E32,$H$2,E44,$H$3,E56,$H$4,E68)</f>
        <v>120000</v>
      </c>
      <c r="F13" s="3" cm="1">
        <f t="array" ref="F13">_xlfn.SWITCH($E$5,$H$1,F32,$H$2,F44,$H$3,F56,$H$4,F68)</f>
        <v>160000</v>
      </c>
      <c r="G13" s="3" cm="1">
        <f t="array" ref="G13">_xlfn.SWITCH($E$5,$H$1,G32,$H$2,G44,$H$3,G56,$H$4,G68)</f>
        <v>145000</v>
      </c>
      <c r="H13" s="3" cm="1">
        <f t="array" ref="H13">_xlfn.SWITCH($E$5,$H$1,H32,$H$2,H44,$H$3,H56,$H$4,H68)</f>
        <v>160000</v>
      </c>
      <c r="I13" s="3" cm="1">
        <f t="array" ref="I13">_xlfn.SWITCH($E$5,$H$1,I32,$H$2,I44,$H$3,I56,$H$4,I68)</f>
        <v>130000</v>
      </c>
      <c r="J13" s="3" cm="1">
        <f t="array" ref="J13">_xlfn.SWITCH($E$5,$H$1,J32,$H$2,J44,$H$3,J56,$H$4,J68)</f>
        <v>150000</v>
      </c>
      <c r="K13" s="3" cm="1">
        <f t="array" ref="K13">_xlfn.SWITCH($E$5,$H$1,K32,$H$2,K44,$H$3,K56,$H$4,K68)</f>
        <v>125000</v>
      </c>
      <c r="L13" s="27" cm="1">
        <f t="array" ref="L13">_xlfn.SWITCH($E$5,$H$1,L32,$H$2,L44,$H$3,L56,$H$4,L68)</f>
        <v>56</v>
      </c>
      <c r="M13" s="27" cm="1">
        <f t="array" ref="M13">_xlfn.SWITCH($E$5,$H$1,M32,$H$2,M44,$H$3,M56,$H$4,M68)</f>
        <v>65</v>
      </c>
      <c r="N13" s="27" cm="1">
        <f t="array" ref="N13">_xlfn.SWITCH($E$5,$H$1,N32,$H$2,N44,$H$3,N56,$H$4,N68)</f>
        <v>50</v>
      </c>
      <c r="O13" s="27" cm="1">
        <f t="array" ref="O13">_xlfn.SWITCH($E$5,$H$1,O32,$H$2,O44,$H$3,O56,$H$4,O68)</f>
        <v>20</v>
      </c>
      <c r="P13" s="27" cm="1">
        <f t="array" ref="P13">_xlfn.SWITCH($E$5,$H$1,P32,$H$2,P44,$H$3,P56,$H$4,P68)</f>
        <v>25</v>
      </c>
      <c r="Q13" s="27" cm="1">
        <f t="array" ref="Q13">_xlfn.SWITCH($E$5,$H$1,Q32,$H$2,Q44,$H$3,Q56,$H$4,Q68)</f>
        <v>35</v>
      </c>
      <c r="R13" s="27" cm="1">
        <f t="array" ref="R13">_xlfn.SWITCH($E$5,$H$1,R32,$H$2,R44,$H$3,R56,$H$4,R68)</f>
        <v>22</v>
      </c>
      <c r="S13" s="27" cm="1">
        <f t="array" ref="S13">_xlfn.SWITCH($E$5,$H$1,S32,$H$2,S44,$H$3,S56,$H$4,S68)</f>
        <v>17</v>
      </c>
      <c r="T13" s="27" cm="1">
        <f t="array" ref="T13">_xlfn.SWITCH($E$5,$H$1,T32,$H$2,T44,$H$3,T56,$H$4,T68)</f>
        <v>17</v>
      </c>
      <c r="U13" s="27" cm="1">
        <f t="array" ref="U13">_xlfn.SWITCH($E$5,$H$1,U32,$H$2,U44,$H$3,U56,$H$4,U68)</f>
        <v>25</v>
      </c>
      <c r="V13" s="27" cm="1">
        <f t="array" ref="V13">_xlfn.SWITCH($E$5,$H$1,V32,$H$2,V44,$H$3,V56,$H$4,V68)</f>
        <v>17</v>
      </c>
      <c r="W13" s="27" cm="1">
        <f t="array" ref="W13">_xlfn.SWITCH($E$5,$H$1,W32,$H$2,W44,$H$3,W56,$H$4,W68)</f>
        <v>21</v>
      </c>
      <c r="X13" s="3" cm="1">
        <f t="array" ref="X13">_xlfn.SWITCH($E$5,$H$1,X32,$H$2,X44,$H$3,X56,$H$4,X68)</f>
        <v>9000</v>
      </c>
      <c r="Y13" s="3" cm="1">
        <f t="array" ref="Y13">_xlfn.SWITCH($E$5,$H$1,Y32,$H$2,Y44,$H$3,Y56,$H$4,Y68)</f>
        <v>6500</v>
      </c>
      <c r="Z13" s="3" cm="1">
        <f t="array" ref="Z13">_xlfn.SWITCH($E$5,$H$1,Z32,$H$2,Z44,$H$3,Z56,$H$4,Z68)</f>
        <v>6500</v>
      </c>
      <c r="AA13" s="3" cm="1">
        <f t="array" ref="AA13">_xlfn.SWITCH($E$5,$H$1,AA32,$H$2,AA44,$H$3,AA56,$H$4,AA68)</f>
        <v>409.09</v>
      </c>
      <c r="AB13" s="3" cm="1">
        <f t="array" ref="AB13">_xlfn.SWITCH($E$5,$H$1,AB32,$H$2,AB44,$H$3,AB56,$H$4,AB68)</f>
        <v>382.35</v>
      </c>
      <c r="AC13" s="3" cm="1">
        <f t="array" ref="AC13">_xlfn.SWITCH($E$5,$H$1,AC32,$H$2,AC44,$H$3,AC56,$H$4,AC68)</f>
        <v>382.35</v>
      </c>
      <c r="AD13" s="3" cm="1">
        <f t="array" ref="AD13">_xlfn.SWITCH($E$5,$H$1,AD32,$H$2,AD44,$H$3,AD56,$H$4,AD68)</f>
        <v>350</v>
      </c>
      <c r="AE13" s="3" cm="1">
        <f t="array" ref="AE13">_xlfn.SWITCH($E$5,$H$1,AE32,$H$2,AE44,$H$3,AE56,$H$4,AE68)</f>
        <v>450</v>
      </c>
      <c r="AF13" s="3" cm="1">
        <f t="array" ref="AF13">_xlfn.SWITCH($E$5,$H$1,AF32,$H$2,AF44,$H$3,AF56,$H$4,AF68)</f>
        <v>350</v>
      </c>
      <c r="AG13" s="3" cm="1">
        <f t="array" ref="AG13">_xlfn.SWITCH($E$5,$H$1,AG32,$H$2,AG44,$H$3,AG56,$H$4,AG68)</f>
        <v>365</v>
      </c>
      <c r="AH13" s="3" cm="1">
        <f t="array" ref="AH13">_xlfn.SWITCH($E$5,$H$1,AH32,$H$2,AH44,$H$3,AH56,$H$4,AH68)</f>
        <v>350</v>
      </c>
      <c r="AI13" s="3" cm="1">
        <f t="array" ref="AI13">_xlfn.SWITCH($E$5,$H$1,AI32,$H$2,AI44,$H$3,AI56,$H$4,AI68)</f>
        <v>352</v>
      </c>
      <c r="AJ13" s="3" cm="1">
        <f t="array" ref="AJ13">_xlfn.SWITCH($E$5,$H$1,AJ32,$H$2,AJ44,$H$3,AJ56,$H$4,AJ68)</f>
        <v>2678.57</v>
      </c>
      <c r="AK13" s="3" cm="1">
        <f t="array" ref="AK13">_xlfn.SWITCH($E$5,$H$1,AK32,$H$2,AK44,$H$3,AK56,$H$4,AK68)</f>
        <v>1923.08</v>
      </c>
      <c r="AL13" s="3" cm="1">
        <f t="array" ref="AL13">_xlfn.SWITCH($E$5,$H$1,AL32,$H$2,AL44,$H$3,AL56,$H$4,AL68)</f>
        <v>2400</v>
      </c>
      <c r="AM13" s="3" cm="1">
        <f t="array" ref="AM13">_xlfn.SWITCH($E$5,$H$1,AM32,$H$2,AM44,$H$3,AM56,$H$4,AM68)</f>
        <v>2600</v>
      </c>
      <c r="AN13" s="3" cm="1">
        <f t="array" ref="AN13">_xlfn.SWITCH($E$5,$H$1,AN32,$H$2,AN44,$H$3,AN56,$H$4,AN68)</f>
        <v>1800</v>
      </c>
      <c r="AO13" s="3" cm="1">
        <f t="array" ref="AO13">_xlfn.SWITCH($E$5,$H$1,AO32,$H$2,AO44,$H$3,AO56,$H$4,AO68)</f>
        <v>2200</v>
      </c>
      <c r="AP13" s="3" cm="1">
        <f t="array" ref="AP13">_xlfn.SWITCH($E$5,$H$1,AP32,$H$2,AP44,$H$3,AP56,$H$4,AP68)</f>
        <v>2200</v>
      </c>
      <c r="AQ13" s="3" cm="1">
        <f t="array" ref="AQ13">_xlfn.SWITCH($E$5,$H$1,AQ32,$H$2,AQ44,$H$3,AQ56,$H$4,AQ68)</f>
        <v>2300</v>
      </c>
      <c r="AR13" s="3" cm="1">
        <f t="array" ref="AR13">_xlfn.SWITCH($E$5,$H$1,AR32,$H$2,AR44,$H$3,AR56,$H$4,AR68)</f>
        <v>2500</v>
      </c>
    </row>
    <row r="14" spans="2:44" ht="17.399999999999999">
      <c r="B14" s="2" t="s">
        <v>22</v>
      </c>
      <c r="C14" s="3" cm="1">
        <f t="array" ref="C14">_xlfn.SWITCH($E$5,$H$1,C33,$H$2,C45,$H$3,C57,$H$4,C69)</f>
        <v>155000</v>
      </c>
      <c r="D14" s="3" cm="1">
        <f t="array" ref="D14">_xlfn.SWITCH($E$5,$H$1,D33,$H$2,D45,$H$3,D57,$H$4,D69)</f>
        <v>155000</v>
      </c>
      <c r="E14" s="3" cm="1">
        <f t="array" ref="E14">_xlfn.SWITCH($E$5,$H$1,E33,$H$2,E45,$H$3,E57,$H$4,E69)</f>
        <v>155000</v>
      </c>
      <c r="F14" s="3" cm="1">
        <f t="array" ref="F14">_xlfn.SWITCH($E$5,$H$1,F33,$H$2,F45,$H$3,F57,$H$4,F69)</f>
        <v>160000</v>
      </c>
      <c r="G14" s="3" cm="1">
        <f t="array" ref="G14">_xlfn.SWITCH($E$5,$H$1,G33,$H$2,G45,$H$3,G57,$H$4,G69)</f>
        <v>145000</v>
      </c>
      <c r="H14" s="3" cm="1">
        <f t="array" ref="H14">_xlfn.SWITCH($E$5,$H$1,H33,$H$2,H45,$H$3,H57,$H$4,H69)</f>
        <v>160000</v>
      </c>
      <c r="I14" s="3" cm="1">
        <f t="array" ref="I14">_xlfn.SWITCH($E$5,$H$1,I33,$H$2,I45,$H$3,I57,$H$4,I69)</f>
        <v>150000</v>
      </c>
      <c r="J14" s="3" cm="1">
        <f t="array" ref="J14">_xlfn.SWITCH($E$5,$H$1,J33,$H$2,J45,$H$3,J57,$H$4,J69)</f>
        <v>155000</v>
      </c>
      <c r="K14" s="3" cm="1">
        <f t="array" ref="K14">_xlfn.SWITCH($E$5,$H$1,K33,$H$2,K45,$H$3,K57,$H$4,K69)</f>
        <v>160000</v>
      </c>
      <c r="L14" s="27" cm="1">
        <f t="array" ref="L14">_xlfn.SWITCH($E$5,$H$1,L33,$H$2,L45,$H$3,L57,$H$4,L69)</f>
        <v>62</v>
      </c>
      <c r="M14" s="27" cm="1">
        <f t="array" ref="M14">_xlfn.SWITCH($E$5,$H$1,M33,$H$2,M45,$H$3,M57,$H$4,M69)</f>
        <v>52</v>
      </c>
      <c r="N14" s="27" cm="1">
        <f t="array" ref="N14">_xlfn.SWITCH($E$5,$H$1,N33,$H$2,N45,$H$3,N57,$H$4,N69)</f>
        <v>52</v>
      </c>
      <c r="O14" s="27" cm="1">
        <f t="array" ref="O14">_xlfn.SWITCH($E$5,$H$1,O33,$H$2,O45,$H$3,O57,$H$4,O69)</f>
        <v>20</v>
      </c>
      <c r="P14" s="27" cm="1">
        <f t="array" ref="P14">_xlfn.SWITCH($E$5,$H$1,P33,$H$2,P45,$H$3,P57,$H$4,P69)</f>
        <v>25</v>
      </c>
      <c r="Q14" s="27" cm="1">
        <f t="array" ref="Q14">_xlfn.SWITCH($E$5,$H$1,Q33,$H$2,Q45,$H$3,Q57,$H$4,Q69)</f>
        <v>35</v>
      </c>
      <c r="R14" s="27" cm="1">
        <f t="array" ref="R14">_xlfn.SWITCH($E$5,$H$1,R33,$H$2,R45,$H$3,R57,$H$4,R69)</f>
        <v>21</v>
      </c>
      <c r="S14" s="27" cm="1">
        <f t="array" ref="S14">_xlfn.SWITCH($E$5,$H$1,S33,$H$2,S45,$H$3,S57,$H$4,S69)</f>
        <v>24</v>
      </c>
      <c r="T14" s="27" cm="1">
        <f t="array" ref="T14">_xlfn.SWITCH($E$5,$H$1,T33,$H$2,T45,$H$3,T57,$H$4,T69)</f>
        <v>22</v>
      </c>
      <c r="U14" s="27" cm="1">
        <f t="array" ref="U14">_xlfn.SWITCH($E$5,$H$1,U33,$H$2,U45,$H$3,U57,$H$4,U69)</f>
        <v>17</v>
      </c>
      <c r="V14" s="27" cm="1">
        <f t="array" ref="V14">_xlfn.SWITCH($E$5,$H$1,V33,$H$2,V45,$H$3,V57,$H$4,V69)</f>
        <v>16</v>
      </c>
      <c r="W14" s="27" cm="1">
        <f t="array" ref="W14">_xlfn.SWITCH($E$5,$H$1,W33,$H$2,W45,$H$3,W57,$H$4,W69)</f>
        <v>23</v>
      </c>
      <c r="X14" s="3" cm="1">
        <f t="array" ref="X14">_xlfn.SWITCH($E$5,$H$1,X33,$H$2,X45,$H$3,X57,$H$4,X69)</f>
        <v>6200</v>
      </c>
      <c r="Y14" s="3" cm="1">
        <f t="array" ref="Y14">_xlfn.SWITCH($E$5,$H$1,Y33,$H$2,Y45,$H$3,Y57,$H$4,Y69)</f>
        <v>6300</v>
      </c>
      <c r="Z14" s="3" cm="1">
        <f t="array" ref="Z14">_xlfn.SWITCH($E$5,$H$1,Z33,$H$2,Z45,$H$3,Z57,$H$4,Z69)</f>
        <v>9000</v>
      </c>
      <c r="AA14" s="3" cm="1">
        <f t="array" ref="AA14">_xlfn.SWITCH($E$5,$H$1,AA33,$H$2,AA45,$H$3,AA57,$H$4,AA69)</f>
        <v>295.24</v>
      </c>
      <c r="AB14" s="3" cm="1">
        <f t="array" ref="AB14">_xlfn.SWITCH($E$5,$H$1,AB33,$H$2,AB45,$H$3,AB57,$H$4,AB69)</f>
        <v>262.5</v>
      </c>
      <c r="AC14" s="3" cm="1">
        <f t="array" ref="AC14">_xlfn.SWITCH($E$5,$H$1,AC33,$H$2,AC45,$H$3,AC57,$H$4,AC69)</f>
        <v>409.09</v>
      </c>
      <c r="AD14" s="3" cm="1">
        <f t="array" ref="AD14">_xlfn.SWITCH($E$5,$H$1,AD33,$H$2,AD45,$H$3,AD57,$H$4,AD69)</f>
        <v>350</v>
      </c>
      <c r="AE14" s="3" cm="1">
        <f t="array" ref="AE14">_xlfn.SWITCH($E$5,$H$1,AE33,$H$2,AE45,$H$3,AE57,$H$4,AE69)</f>
        <v>450</v>
      </c>
      <c r="AF14" s="3" cm="1">
        <f t="array" ref="AF14">_xlfn.SWITCH($E$5,$H$1,AF33,$H$2,AF45,$H$3,AF57,$H$4,AF69)</f>
        <v>350</v>
      </c>
      <c r="AG14" s="3" cm="1">
        <f t="array" ref="AG14">_xlfn.SWITCH($E$5,$H$1,AG33,$H$2,AG45,$H$3,AG57,$H$4,AG69)</f>
        <v>405</v>
      </c>
      <c r="AH14" s="3" cm="1">
        <f t="array" ref="AH14">_xlfn.SWITCH($E$5,$H$1,AH33,$H$2,AH45,$H$3,AH57,$H$4,AH69)</f>
        <v>370</v>
      </c>
      <c r="AI14" s="3" cm="1">
        <f t="array" ref="AI14">_xlfn.SWITCH($E$5,$H$1,AI33,$H$2,AI45,$H$3,AI57,$H$4,AI69)</f>
        <v>350</v>
      </c>
      <c r="AJ14" s="3" cm="1">
        <f t="array" ref="AJ14">_xlfn.SWITCH($E$5,$H$1,AJ33,$H$2,AJ45,$H$3,AJ57,$H$4,AJ69)</f>
        <v>2500</v>
      </c>
      <c r="AK14" s="3" cm="1">
        <f t="array" ref="AK14">_xlfn.SWITCH($E$5,$H$1,AK33,$H$2,AK45,$H$3,AK57,$H$4,AK69)</f>
        <v>2980.77</v>
      </c>
      <c r="AL14" s="3" cm="1">
        <f t="array" ref="AL14">_xlfn.SWITCH($E$5,$H$1,AL33,$H$2,AL45,$H$3,AL57,$H$4,AL69)</f>
        <v>2980.77</v>
      </c>
      <c r="AM14" s="3" cm="1">
        <f t="array" ref="AM14">_xlfn.SWITCH($E$5,$H$1,AM33,$H$2,AM45,$H$3,AM57,$H$4,AM69)</f>
        <v>2400</v>
      </c>
      <c r="AN14" s="3" cm="1">
        <f t="array" ref="AN14">_xlfn.SWITCH($E$5,$H$1,AN33,$H$2,AN45,$H$3,AN57,$H$4,AN69)</f>
        <v>2800</v>
      </c>
      <c r="AO14" s="3" cm="1">
        <f t="array" ref="AO14">_xlfn.SWITCH($E$5,$H$1,AO33,$H$2,AO45,$H$3,AO57,$H$4,AO69)</f>
        <v>2890</v>
      </c>
      <c r="AP14" s="3" cm="1">
        <f t="array" ref="AP14">_xlfn.SWITCH($E$5,$H$1,AP33,$H$2,AP45,$H$3,AP57,$H$4,AP69)</f>
        <v>2200</v>
      </c>
      <c r="AQ14" s="3" cm="1">
        <f t="array" ref="AQ14">_xlfn.SWITCH($E$5,$H$1,AQ33,$H$2,AQ45,$H$3,AQ57,$H$4,AQ69)</f>
        <v>2300</v>
      </c>
      <c r="AR14" s="3" cm="1">
        <f t="array" ref="AR14">_xlfn.SWITCH($E$5,$H$1,AR33,$H$2,AR45,$H$3,AR57,$H$4,AR69)</f>
        <v>2500</v>
      </c>
    </row>
    <row r="15" spans="2:44" ht="18" thickBot="1">
      <c r="B15" s="2" t="s">
        <v>23</v>
      </c>
      <c r="C15" s="3" cm="1">
        <f t="array" ref="C15">_xlfn.SWITCH($E$5,$H$1,C34,$H$2,C46,$H$3,C58,$H$4,C70)</f>
        <v>140000</v>
      </c>
      <c r="D15" s="3" cm="1">
        <f t="array" ref="D15">_xlfn.SWITCH($E$5,$H$1,D34,$H$2,D46,$H$3,D58,$H$4,D70)</f>
        <v>170000</v>
      </c>
      <c r="E15" s="3" cm="1">
        <f t="array" ref="E15">_xlfn.SWITCH($E$5,$H$1,E34,$H$2,E46,$H$3,E58,$H$4,E70)</f>
        <v>155000</v>
      </c>
      <c r="F15" s="3" cm="1">
        <f t="array" ref="F15">_xlfn.SWITCH($E$5,$H$1,F34,$H$2,F46,$H$3,F58,$H$4,F70)</f>
        <v>160000</v>
      </c>
      <c r="G15" s="3" cm="1">
        <f t="array" ref="G15">_xlfn.SWITCH($E$5,$H$1,G34,$H$2,G46,$H$3,G58,$H$4,G70)</f>
        <v>145000</v>
      </c>
      <c r="H15" s="3" cm="1">
        <f t="array" ref="H15">_xlfn.SWITCH($E$5,$H$1,H34,$H$2,H46,$H$3,H58,$H$4,H70)</f>
        <v>160000</v>
      </c>
      <c r="I15" s="3" cm="1">
        <f t="array" ref="I15">_xlfn.SWITCH($E$5,$H$1,I34,$H$2,I46,$H$3,I58,$H$4,I70)</f>
        <v>150000</v>
      </c>
      <c r="J15" s="3" cm="1">
        <f t="array" ref="J15">_xlfn.SWITCH($E$5,$H$1,J34,$H$2,J46,$H$3,J58,$H$4,J70)</f>
        <v>180000</v>
      </c>
      <c r="K15" s="3" cm="1">
        <f t="array" ref="K15">_xlfn.SWITCH($E$5,$H$1,K34,$H$2,K46,$H$3,K58,$H$4,K70)</f>
        <v>140000</v>
      </c>
      <c r="L15" s="27" cm="1">
        <f t="array" ref="L15">_xlfn.SWITCH($E$5,$H$1,L34,$H$2,L46,$H$3,L58,$H$4,L70)</f>
        <v>65</v>
      </c>
      <c r="M15" s="27" cm="1">
        <f t="array" ref="M15">_xlfn.SWITCH($E$5,$H$1,M34,$H$2,M46,$H$3,M58,$H$4,M70)</f>
        <v>50</v>
      </c>
      <c r="N15" s="27" cm="1">
        <f t="array" ref="N15">_xlfn.SWITCH($E$5,$H$1,N34,$H$2,N46,$H$3,N58,$H$4,N70)</f>
        <v>70</v>
      </c>
      <c r="O15" s="27" cm="1">
        <f t="array" ref="O15">_xlfn.SWITCH($E$5,$H$1,O34,$H$2,O46,$H$3,O58,$H$4,O70)</f>
        <v>20</v>
      </c>
      <c r="P15" s="27" cm="1">
        <f t="array" ref="P15">_xlfn.SWITCH($E$5,$H$1,P34,$H$2,P46,$H$3,P58,$H$4,P70)</f>
        <v>25</v>
      </c>
      <c r="Q15" s="27" cm="1">
        <f t="array" ref="Q15">_xlfn.SWITCH($E$5,$H$1,Q34,$H$2,Q46,$H$3,Q58,$H$4,Q70)</f>
        <v>35</v>
      </c>
      <c r="R15" s="27" cm="1">
        <f t="array" ref="R15">_xlfn.SWITCH($E$5,$H$1,R34,$H$2,R46,$H$3,R58,$H$4,R70)</f>
        <v>30</v>
      </c>
      <c r="S15" s="27" cm="1">
        <f t="array" ref="S15">_xlfn.SWITCH($E$5,$H$1,S34,$H$2,S46,$H$3,S58,$H$4,S70)</f>
        <v>16</v>
      </c>
      <c r="T15" s="27" cm="1">
        <f t="array" ref="T15">_xlfn.SWITCH($E$5,$H$1,T34,$H$2,T46,$H$3,T58,$H$4,T70)</f>
        <v>18</v>
      </c>
      <c r="U15" s="27" cm="1">
        <f t="array" ref="U15">_xlfn.SWITCH($E$5,$H$1,U34,$H$2,U46,$H$3,U58,$H$4,U70)</f>
        <v>25</v>
      </c>
      <c r="V15" s="27" cm="1">
        <f t="array" ref="V15">_xlfn.SWITCH($E$5,$H$1,V34,$H$2,V46,$H$3,V58,$H$4,V70)</f>
        <v>21</v>
      </c>
      <c r="W15" s="27" cm="1">
        <f t="array" ref="W15">_xlfn.SWITCH($E$5,$H$1,W34,$H$2,W46,$H$3,W58,$H$4,W70)</f>
        <v>20</v>
      </c>
      <c r="X15" s="3" cm="1">
        <f t="array" ref="X15">_xlfn.SWITCH($E$5,$H$1,X34,$H$2,X46,$H$3,X58,$H$4,X70)</f>
        <v>9800</v>
      </c>
      <c r="Y15" s="3" cm="1">
        <f t="array" ref="Y15">_xlfn.SWITCH($E$5,$H$1,Y34,$H$2,Y46,$H$3,Y58,$H$4,Y70)</f>
        <v>8000</v>
      </c>
      <c r="Z15" s="3" cm="1">
        <f t="array" ref="Z15">_xlfn.SWITCH($E$5,$H$1,Z34,$H$2,Z46,$H$3,Z58,$H$4,Z70)</f>
        <v>7500</v>
      </c>
      <c r="AA15" s="3" cm="1">
        <f t="array" ref="AA15">_xlfn.SWITCH($E$5,$H$1,AA34,$H$2,AA46,$H$3,AA58,$H$4,AA70)</f>
        <v>326.67</v>
      </c>
      <c r="AB15" s="3" cm="1">
        <f t="array" ref="AB15">_xlfn.SWITCH($E$5,$H$1,AB34,$H$2,AB46,$H$3,AB58,$H$4,AB70)</f>
        <v>500</v>
      </c>
      <c r="AC15" s="3" cm="1">
        <f t="array" ref="AC15">_xlfn.SWITCH($E$5,$H$1,AC34,$H$2,AC46,$H$3,AC58,$H$4,AC70)</f>
        <v>416.67</v>
      </c>
      <c r="AD15" s="3" cm="1">
        <f t="array" ref="AD15">_xlfn.SWITCH($E$5,$H$1,AD34,$H$2,AD46,$H$3,AD58,$H$4,AD70)</f>
        <v>350</v>
      </c>
      <c r="AE15" s="3" cm="1">
        <f t="array" ref="AE15">_xlfn.SWITCH($E$5,$H$1,AE34,$H$2,AE46,$H$3,AE58,$H$4,AE70)</f>
        <v>450</v>
      </c>
      <c r="AF15" s="3" cm="1">
        <f t="array" ref="AF15">_xlfn.SWITCH($E$5,$H$1,AF34,$H$2,AF46,$H$3,AF58,$H$4,AF70)</f>
        <v>350</v>
      </c>
      <c r="AG15" s="3" cm="1">
        <f t="array" ref="AG15">_xlfn.SWITCH($E$5,$H$1,AG34,$H$2,AG46,$H$3,AG58,$H$4,AG70)</f>
        <v>385</v>
      </c>
      <c r="AH15" s="3" cm="1">
        <f t="array" ref="AH15">_xlfn.SWITCH($E$5,$H$1,AH34,$H$2,AH46,$H$3,AH58,$H$4,AH70)</f>
        <v>350</v>
      </c>
      <c r="AI15" s="3" cm="1">
        <f t="array" ref="AI15">_xlfn.SWITCH($E$5,$H$1,AI34,$H$2,AI46,$H$3,AI58,$H$4,AI70)</f>
        <v>410</v>
      </c>
      <c r="AJ15" s="3" cm="1">
        <f t="array" ref="AJ15">_xlfn.SWITCH($E$5,$H$1,AJ34,$H$2,AJ46,$H$3,AJ58,$H$4,AJ70)</f>
        <v>2153.85</v>
      </c>
      <c r="AK15" s="3" cm="1">
        <f t="array" ref="AK15">_xlfn.SWITCH($E$5,$H$1,AK34,$H$2,AK46,$H$3,AK58,$H$4,AK70)</f>
        <v>3400</v>
      </c>
      <c r="AL15" s="3" cm="1">
        <f t="array" ref="AL15">_xlfn.SWITCH($E$5,$H$1,AL34,$H$2,AL46,$H$3,AL58,$H$4,AL70)</f>
        <v>2214.29</v>
      </c>
      <c r="AM15" s="3" cm="1">
        <f t="array" ref="AM15">_xlfn.SWITCH($E$5,$H$1,AM34,$H$2,AM46,$H$3,AM58,$H$4,AM70)</f>
        <v>1900</v>
      </c>
      <c r="AN15" s="3" cm="1">
        <f t="array" ref="AN15">_xlfn.SWITCH($E$5,$H$1,AN34,$H$2,AN46,$H$3,AN58,$H$4,AN70)</f>
        <v>3000</v>
      </c>
      <c r="AO15" s="3" cm="1">
        <f t="array" ref="AO15">_xlfn.SWITCH($E$5,$H$1,AO34,$H$2,AO46,$H$3,AO58,$H$4,AO70)</f>
        <v>2100</v>
      </c>
      <c r="AP15" s="3" cm="1">
        <f t="array" ref="AP15">_xlfn.SWITCH($E$5,$H$1,AP34,$H$2,AP46,$H$3,AP58,$H$4,AP70)</f>
        <v>2200</v>
      </c>
      <c r="AQ15" s="3" cm="1">
        <f t="array" ref="AQ15">_xlfn.SWITCH($E$5,$H$1,AQ34,$H$2,AQ46,$H$3,AQ58,$H$4,AQ70)</f>
        <v>2300</v>
      </c>
      <c r="AR15" s="3" cm="1">
        <f t="array" ref="AR15">_xlfn.SWITCH($E$5,$H$1,AR34,$H$2,AR46,$H$3,AR58,$H$4,AR70)</f>
        <v>2500</v>
      </c>
    </row>
    <row r="16" spans="2:44" ht="21.6" thickBot="1">
      <c r="B16" s="34" t="s">
        <v>24</v>
      </c>
      <c r="C16" s="35">
        <f>SUM(C11:C15)</f>
        <v>780000</v>
      </c>
      <c r="D16" s="35">
        <f>SUM(D11:D15)</f>
        <v>745000</v>
      </c>
      <c r="E16" s="35">
        <f t="shared" ref="E16:AR16" si="0">SUM(E11:E15)</f>
        <v>760000</v>
      </c>
      <c r="F16" s="35">
        <f t="shared" si="0"/>
        <v>800000</v>
      </c>
      <c r="G16" s="35">
        <f t="shared" si="0"/>
        <v>725000</v>
      </c>
      <c r="H16" s="35">
        <f t="shared" si="0"/>
        <v>800000</v>
      </c>
      <c r="I16" s="35">
        <f t="shared" si="0"/>
        <v>715000</v>
      </c>
      <c r="J16" s="35">
        <f t="shared" si="0"/>
        <v>740000</v>
      </c>
      <c r="K16" s="35">
        <f t="shared" si="0"/>
        <v>690000</v>
      </c>
      <c r="L16" s="35">
        <f t="shared" si="0"/>
        <v>294</v>
      </c>
      <c r="M16" s="35">
        <f t="shared" si="0"/>
        <v>267</v>
      </c>
      <c r="N16" s="35">
        <f t="shared" si="0"/>
        <v>297</v>
      </c>
      <c r="O16" s="35">
        <f t="shared" si="0"/>
        <v>100</v>
      </c>
      <c r="P16" s="35">
        <f t="shared" si="0"/>
        <v>125</v>
      </c>
      <c r="Q16" s="35">
        <f t="shared" si="0"/>
        <v>175</v>
      </c>
      <c r="R16" s="35">
        <f t="shared" si="0"/>
        <v>102</v>
      </c>
      <c r="S16" s="35">
        <f t="shared" si="0"/>
        <v>100</v>
      </c>
      <c r="T16" s="35">
        <f t="shared" si="0"/>
        <v>99</v>
      </c>
      <c r="U16" s="35">
        <f t="shared" si="0"/>
        <v>102</v>
      </c>
      <c r="V16" s="35">
        <f t="shared" si="0"/>
        <v>91</v>
      </c>
      <c r="W16" s="35">
        <f t="shared" si="0"/>
        <v>87</v>
      </c>
      <c r="X16" s="35">
        <f t="shared" si="0"/>
        <v>38500</v>
      </c>
      <c r="Y16" s="35">
        <f t="shared" si="0"/>
        <v>35300</v>
      </c>
      <c r="Z16" s="35">
        <f t="shared" si="0"/>
        <v>32000</v>
      </c>
      <c r="AA16" s="35">
        <f t="shared" si="0"/>
        <v>1969.1</v>
      </c>
      <c r="AB16" s="35">
        <f t="shared" si="0"/>
        <v>1818.1799999999998</v>
      </c>
      <c r="AC16" s="35">
        <f t="shared" si="0"/>
        <v>1643.4</v>
      </c>
      <c r="AD16" s="35">
        <f t="shared" si="0"/>
        <v>1750</v>
      </c>
      <c r="AE16" s="35">
        <f t="shared" si="0"/>
        <v>2250</v>
      </c>
      <c r="AF16" s="35">
        <f t="shared" si="0"/>
        <v>1750</v>
      </c>
      <c r="AG16" s="35">
        <f t="shared" si="0"/>
        <v>1935</v>
      </c>
      <c r="AH16" s="35">
        <f t="shared" si="0"/>
        <v>1855</v>
      </c>
      <c r="AI16" s="35">
        <f t="shared" si="0"/>
        <v>1890</v>
      </c>
      <c r="AJ16" s="35">
        <f t="shared" si="0"/>
        <v>13545.08</v>
      </c>
      <c r="AK16" s="35">
        <f t="shared" si="0"/>
        <v>14273.54</v>
      </c>
      <c r="AL16" s="35">
        <f t="shared" si="0"/>
        <v>12857.880000000001</v>
      </c>
      <c r="AM16" s="35">
        <f t="shared" si="0"/>
        <v>12200</v>
      </c>
      <c r="AN16" s="35">
        <f t="shared" si="0"/>
        <v>13100</v>
      </c>
      <c r="AO16" s="35">
        <f t="shared" si="0"/>
        <v>11490</v>
      </c>
      <c r="AP16" s="35">
        <f t="shared" si="0"/>
        <v>11000</v>
      </c>
      <c r="AQ16" s="35">
        <f t="shared" si="0"/>
        <v>11500</v>
      </c>
      <c r="AR16" s="35">
        <f t="shared" si="0"/>
        <v>12500</v>
      </c>
    </row>
    <row r="17" spans="2:44" ht="14.4"/>
    <row r="18" spans="2:44" ht="14.4"/>
    <row r="19" spans="2:44" ht="14.4"/>
    <row r="20" spans="2:44" ht="14.4"/>
    <row r="21" spans="2:44" ht="14.4"/>
    <row r="22" spans="2:44" ht="14.4"/>
    <row r="23" spans="2:44" ht="14.4"/>
    <row r="24" spans="2:44" ht="14.4"/>
    <row r="25" spans="2:44" thickBot="1"/>
    <row r="26" spans="2:44" thickBot="1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4"/>
    </row>
    <row r="27" spans="2:44" thickBot="1">
      <c r="B27" s="4"/>
      <c r="C27" s="36" t="s">
        <v>25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8"/>
    </row>
    <row r="28" spans="2:44" thickBot="1">
      <c r="B28" s="4"/>
      <c r="C28" s="6" t="s">
        <v>26</v>
      </c>
      <c r="D28" s="6" t="s">
        <v>27</v>
      </c>
      <c r="E28" s="7" t="s">
        <v>28</v>
      </c>
      <c r="F28" s="6" t="s">
        <v>26</v>
      </c>
      <c r="G28" s="6" t="s">
        <v>27</v>
      </c>
      <c r="H28" s="7" t="s">
        <v>28</v>
      </c>
      <c r="I28" s="6" t="s">
        <v>26</v>
      </c>
      <c r="J28" s="6" t="s">
        <v>27</v>
      </c>
      <c r="K28" s="7" t="s">
        <v>28</v>
      </c>
      <c r="L28" s="6" t="s">
        <v>26</v>
      </c>
      <c r="M28" s="6" t="s">
        <v>27</v>
      </c>
      <c r="N28" s="7" t="s">
        <v>28</v>
      </c>
      <c r="O28" s="6" t="s">
        <v>26</v>
      </c>
      <c r="P28" s="6" t="s">
        <v>27</v>
      </c>
      <c r="Q28" s="7" t="s">
        <v>28</v>
      </c>
      <c r="R28" s="6" t="s">
        <v>26</v>
      </c>
      <c r="S28" s="6" t="s">
        <v>27</v>
      </c>
      <c r="T28" s="7" t="s">
        <v>28</v>
      </c>
      <c r="U28" s="6" t="s">
        <v>26</v>
      </c>
      <c r="V28" s="6" t="s">
        <v>27</v>
      </c>
      <c r="W28" s="7" t="s">
        <v>28</v>
      </c>
      <c r="X28" s="6" t="s">
        <v>26</v>
      </c>
      <c r="Y28" s="6" t="s">
        <v>27</v>
      </c>
      <c r="Z28" s="7" t="s">
        <v>28</v>
      </c>
      <c r="AA28" s="6" t="s">
        <v>26</v>
      </c>
      <c r="AB28" s="6" t="s">
        <v>27</v>
      </c>
      <c r="AC28" s="7" t="s">
        <v>28</v>
      </c>
      <c r="AD28" s="6" t="s">
        <v>26</v>
      </c>
      <c r="AE28" s="6" t="s">
        <v>27</v>
      </c>
      <c r="AF28" s="7" t="s">
        <v>28</v>
      </c>
      <c r="AG28" s="6" t="s">
        <v>26</v>
      </c>
      <c r="AH28" s="6" t="s">
        <v>27</v>
      </c>
      <c r="AI28" s="7" t="s">
        <v>28</v>
      </c>
      <c r="AJ28" s="6" t="s">
        <v>26</v>
      </c>
      <c r="AK28" s="6" t="s">
        <v>27</v>
      </c>
      <c r="AL28" s="7" t="s">
        <v>28</v>
      </c>
      <c r="AM28" s="6" t="s">
        <v>26</v>
      </c>
      <c r="AN28" s="6" t="s">
        <v>27</v>
      </c>
      <c r="AO28" s="7" t="s">
        <v>28</v>
      </c>
      <c r="AP28" s="6" t="s">
        <v>26</v>
      </c>
      <c r="AQ28" s="6" t="s">
        <v>27</v>
      </c>
      <c r="AR28" s="7" t="s">
        <v>28</v>
      </c>
    </row>
    <row r="29" spans="2:44" ht="42" thickBot="1">
      <c r="B29" s="4"/>
      <c r="C29" s="8" t="s">
        <v>5</v>
      </c>
      <c r="D29" s="8" t="s">
        <v>5</v>
      </c>
      <c r="E29" s="9" t="s">
        <v>5</v>
      </c>
      <c r="F29" s="8" t="s">
        <v>6</v>
      </c>
      <c r="G29" s="8" t="s">
        <v>6</v>
      </c>
      <c r="H29" s="9" t="s">
        <v>6</v>
      </c>
      <c r="I29" s="8" t="s">
        <v>7</v>
      </c>
      <c r="J29" s="8" t="s">
        <v>7</v>
      </c>
      <c r="K29" s="9" t="s">
        <v>7</v>
      </c>
      <c r="L29" s="8" t="s">
        <v>8</v>
      </c>
      <c r="M29" s="8" t="s">
        <v>8</v>
      </c>
      <c r="N29" s="9" t="s">
        <v>8</v>
      </c>
      <c r="O29" s="8" t="s">
        <v>9</v>
      </c>
      <c r="P29" s="8" t="s">
        <v>9</v>
      </c>
      <c r="Q29" s="9" t="s">
        <v>9</v>
      </c>
      <c r="R29" s="8" t="s">
        <v>10</v>
      </c>
      <c r="S29" s="8" t="s">
        <v>10</v>
      </c>
      <c r="T29" s="9" t="s">
        <v>10</v>
      </c>
      <c r="U29" s="8" t="s">
        <v>11</v>
      </c>
      <c r="V29" s="8" t="s">
        <v>11</v>
      </c>
      <c r="W29" s="9" t="s">
        <v>11</v>
      </c>
      <c r="X29" s="8" t="s">
        <v>12</v>
      </c>
      <c r="Y29" s="8" t="s">
        <v>12</v>
      </c>
      <c r="Z29" s="9" t="s">
        <v>12</v>
      </c>
      <c r="AA29" s="8" t="s">
        <v>13</v>
      </c>
      <c r="AB29" s="8" t="s">
        <v>13</v>
      </c>
      <c r="AC29" s="9" t="s">
        <v>13</v>
      </c>
      <c r="AD29" s="8" t="s">
        <v>14</v>
      </c>
      <c r="AE29" s="8" t="s">
        <v>14</v>
      </c>
      <c r="AF29" s="9" t="s">
        <v>14</v>
      </c>
      <c r="AG29" s="8" t="s">
        <v>15</v>
      </c>
      <c r="AH29" s="8" t="s">
        <v>15</v>
      </c>
      <c r="AI29" s="9" t="s">
        <v>15</v>
      </c>
      <c r="AJ29" s="8" t="s">
        <v>16</v>
      </c>
      <c r="AK29" s="8" t="s">
        <v>16</v>
      </c>
      <c r="AL29" s="9" t="s">
        <v>16</v>
      </c>
      <c r="AM29" s="8" t="s">
        <v>17</v>
      </c>
      <c r="AN29" s="8" t="s">
        <v>17</v>
      </c>
      <c r="AO29" s="9" t="s">
        <v>17</v>
      </c>
      <c r="AP29" s="8" t="s">
        <v>18</v>
      </c>
      <c r="AQ29" s="8" t="s">
        <v>18</v>
      </c>
      <c r="AR29" s="9" t="s">
        <v>18</v>
      </c>
    </row>
    <row r="30" spans="2:44" ht="18" thickBot="1">
      <c r="B30" s="10" t="s">
        <v>19</v>
      </c>
      <c r="C30" s="10">
        <v>135000</v>
      </c>
      <c r="D30" s="10">
        <v>130000</v>
      </c>
      <c r="E30" s="10">
        <v>160000</v>
      </c>
      <c r="F30" s="10">
        <v>150000</v>
      </c>
      <c r="G30" s="10">
        <v>140000</v>
      </c>
      <c r="H30" s="10">
        <v>150000</v>
      </c>
      <c r="I30" s="10">
        <v>115000</v>
      </c>
      <c r="J30" s="10">
        <v>140000</v>
      </c>
      <c r="K30" s="10">
        <v>160000</v>
      </c>
      <c r="L30" s="28">
        <v>57</v>
      </c>
      <c r="M30" s="10">
        <v>58</v>
      </c>
      <c r="N30" s="10">
        <v>63</v>
      </c>
      <c r="O30" s="10">
        <v>25</v>
      </c>
      <c r="P30" s="10">
        <v>20</v>
      </c>
      <c r="Q30" s="10">
        <v>25</v>
      </c>
      <c r="R30" s="10">
        <v>10</v>
      </c>
      <c r="S30" s="10">
        <v>11</v>
      </c>
      <c r="T30" s="10">
        <v>18</v>
      </c>
      <c r="U30" s="10">
        <v>9</v>
      </c>
      <c r="V30" s="10">
        <v>12</v>
      </c>
      <c r="W30" s="10">
        <v>14</v>
      </c>
      <c r="X30" s="10">
        <v>4200</v>
      </c>
      <c r="Y30" s="10">
        <v>5000</v>
      </c>
      <c r="Z30" s="10">
        <v>5500</v>
      </c>
      <c r="AA30" s="10">
        <v>420</v>
      </c>
      <c r="AB30" s="10">
        <v>454.55</v>
      </c>
      <c r="AC30" s="10">
        <v>305.56</v>
      </c>
      <c r="AD30" s="10">
        <v>350</v>
      </c>
      <c r="AE30" s="10">
        <v>350</v>
      </c>
      <c r="AF30" s="10">
        <v>350</v>
      </c>
      <c r="AG30" s="10">
        <v>400</v>
      </c>
      <c r="AH30" s="10">
        <v>385</v>
      </c>
      <c r="AI30" s="10">
        <v>390</v>
      </c>
      <c r="AJ30" s="10">
        <v>2192.98</v>
      </c>
      <c r="AK30" s="10">
        <v>2241.38</v>
      </c>
      <c r="AL30" s="10">
        <v>2539.6799999999998</v>
      </c>
      <c r="AM30" s="10">
        <v>2200</v>
      </c>
      <c r="AN30" s="10">
        <v>2100</v>
      </c>
      <c r="AO30" s="10">
        <v>2400</v>
      </c>
      <c r="AP30" s="10">
        <v>2500</v>
      </c>
      <c r="AQ30" s="10">
        <v>2600</v>
      </c>
      <c r="AR30" s="10">
        <v>2400</v>
      </c>
    </row>
    <row r="31" spans="2:44" ht="18" thickBot="1">
      <c r="B31" s="10" t="s">
        <v>20</v>
      </c>
      <c r="C31" s="10">
        <v>170000</v>
      </c>
      <c r="D31" s="10">
        <v>160000</v>
      </c>
      <c r="E31" s="10">
        <v>185000</v>
      </c>
      <c r="F31" s="10">
        <v>150000</v>
      </c>
      <c r="G31" s="10">
        <v>140000</v>
      </c>
      <c r="H31" s="10">
        <v>150000</v>
      </c>
      <c r="I31" s="10">
        <v>160000</v>
      </c>
      <c r="J31" s="10">
        <v>130000</v>
      </c>
      <c r="K31" s="10">
        <v>125000</v>
      </c>
      <c r="L31" s="28">
        <v>74</v>
      </c>
      <c r="M31" s="10">
        <v>70</v>
      </c>
      <c r="N31" s="10">
        <v>74</v>
      </c>
      <c r="O31" s="10">
        <v>25</v>
      </c>
      <c r="P31" s="10">
        <v>20</v>
      </c>
      <c r="Q31" s="10">
        <v>25</v>
      </c>
      <c r="R31" s="10">
        <v>22</v>
      </c>
      <c r="S31" s="10">
        <v>23</v>
      </c>
      <c r="T31" s="10">
        <v>26</v>
      </c>
      <c r="U31" s="10">
        <v>17</v>
      </c>
      <c r="V31" s="10">
        <v>24</v>
      </c>
      <c r="W31" s="10">
        <v>22</v>
      </c>
      <c r="X31" s="10">
        <v>7800</v>
      </c>
      <c r="Y31" s="10">
        <v>10000</v>
      </c>
      <c r="Z31" s="10">
        <v>9000</v>
      </c>
      <c r="AA31" s="10">
        <v>354.55</v>
      </c>
      <c r="AB31" s="10">
        <v>434.78</v>
      </c>
      <c r="AC31" s="10">
        <v>346.15</v>
      </c>
      <c r="AD31" s="10">
        <v>350</v>
      </c>
      <c r="AE31" s="10">
        <v>350</v>
      </c>
      <c r="AF31" s="10">
        <v>350</v>
      </c>
      <c r="AG31" s="10">
        <v>402</v>
      </c>
      <c r="AH31" s="10">
        <v>290</v>
      </c>
      <c r="AI31" s="10">
        <v>380</v>
      </c>
      <c r="AJ31" s="10">
        <v>2432.4299999999998</v>
      </c>
      <c r="AK31" s="10">
        <v>2285.71</v>
      </c>
      <c r="AL31" s="10">
        <v>2500</v>
      </c>
      <c r="AM31" s="10">
        <v>2100</v>
      </c>
      <c r="AN31" s="10">
        <v>2200</v>
      </c>
      <c r="AO31" s="10">
        <v>2300</v>
      </c>
      <c r="AP31" s="10">
        <v>2500</v>
      </c>
      <c r="AQ31" s="10">
        <v>2600</v>
      </c>
      <c r="AR31" s="10">
        <v>2400</v>
      </c>
    </row>
    <row r="32" spans="2:44" ht="18" thickBot="1">
      <c r="B32" s="10" t="s">
        <v>21</v>
      </c>
      <c r="C32" s="10">
        <v>175000</v>
      </c>
      <c r="D32" s="10">
        <v>135000</v>
      </c>
      <c r="E32" s="10">
        <v>145000</v>
      </c>
      <c r="F32" s="10">
        <v>150000</v>
      </c>
      <c r="G32" s="10">
        <v>140000</v>
      </c>
      <c r="H32" s="10">
        <v>150000</v>
      </c>
      <c r="I32" s="10">
        <v>170000</v>
      </c>
      <c r="J32" s="10">
        <v>145000</v>
      </c>
      <c r="K32" s="10">
        <v>130000</v>
      </c>
      <c r="L32" s="28">
        <v>70</v>
      </c>
      <c r="M32" s="10">
        <v>55</v>
      </c>
      <c r="N32" s="10">
        <v>61</v>
      </c>
      <c r="O32" s="10">
        <v>25</v>
      </c>
      <c r="P32" s="10">
        <v>20</v>
      </c>
      <c r="Q32" s="10">
        <v>25</v>
      </c>
      <c r="R32" s="10">
        <v>35</v>
      </c>
      <c r="S32" s="10">
        <v>20</v>
      </c>
      <c r="T32" s="10">
        <v>17</v>
      </c>
      <c r="U32" s="10">
        <v>36</v>
      </c>
      <c r="V32" s="10">
        <v>25</v>
      </c>
      <c r="W32" s="10">
        <v>21</v>
      </c>
      <c r="X32" s="10">
        <v>13200</v>
      </c>
      <c r="Y32" s="10">
        <v>9500</v>
      </c>
      <c r="Z32" s="10">
        <v>8300</v>
      </c>
      <c r="AA32" s="10">
        <v>377.14</v>
      </c>
      <c r="AB32" s="10">
        <v>475</v>
      </c>
      <c r="AC32" s="10">
        <v>488.24</v>
      </c>
      <c r="AD32" s="10">
        <v>350</v>
      </c>
      <c r="AE32" s="10">
        <v>350</v>
      </c>
      <c r="AF32" s="10">
        <v>350</v>
      </c>
      <c r="AG32" s="10">
        <v>350</v>
      </c>
      <c r="AH32" s="10">
        <v>385</v>
      </c>
      <c r="AI32" s="10">
        <v>352</v>
      </c>
      <c r="AJ32" s="10">
        <v>2428.5700000000002</v>
      </c>
      <c r="AK32" s="10">
        <v>2454.5500000000002</v>
      </c>
      <c r="AL32" s="10">
        <v>2377.0500000000002</v>
      </c>
      <c r="AM32" s="10">
        <v>2500</v>
      </c>
      <c r="AN32" s="10">
        <v>2500</v>
      </c>
      <c r="AO32" s="10">
        <v>2300</v>
      </c>
      <c r="AP32" s="10">
        <v>2500</v>
      </c>
      <c r="AQ32" s="10">
        <v>2600</v>
      </c>
      <c r="AR32" s="10">
        <v>2400</v>
      </c>
    </row>
    <row r="33" spans="2:44" ht="18" thickBot="1">
      <c r="B33" s="10" t="s">
        <v>22</v>
      </c>
      <c r="C33" s="10">
        <v>156000</v>
      </c>
      <c r="D33" s="10">
        <v>175000</v>
      </c>
      <c r="E33" s="10">
        <v>155000</v>
      </c>
      <c r="F33" s="10">
        <v>150000</v>
      </c>
      <c r="G33" s="10">
        <v>140000</v>
      </c>
      <c r="H33" s="10">
        <v>150000</v>
      </c>
      <c r="I33" s="10">
        <v>165000</v>
      </c>
      <c r="J33" s="10">
        <v>155000</v>
      </c>
      <c r="K33" s="10">
        <v>140000</v>
      </c>
      <c r="L33" s="28">
        <v>66</v>
      </c>
      <c r="M33" s="10">
        <v>68</v>
      </c>
      <c r="N33" s="10">
        <v>63</v>
      </c>
      <c r="O33" s="10">
        <v>25</v>
      </c>
      <c r="P33" s="10">
        <v>20</v>
      </c>
      <c r="Q33" s="10">
        <v>25</v>
      </c>
      <c r="R33" s="10">
        <v>18</v>
      </c>
      <c r="S33" s="10">
        <v>14</v>
      </c>
      <c r="T33" s="10">
        <v>24</v>
      </c>
      <c r="U33" s="10">
        <v>14</v>
      </c>
      <c r="V33" s="10">
        <v>25</v>
      </c>
      <c r="W33" s="10">
        <v>22</v>
      </c>
      <c r="X33" s="10">
        <v>6500</v>
      </c>
      <c r="Y33" s="10">
        <v>9000</v>
      </c>
      <c r="Z33" s="10">
        <v>8500</v>
      </c>
      <c r="AA33" s="10">
        <v>361.11</v>
      </c>
      <c r="AB33" s="10">
        <v>642.86</v>
      </c>
      <c r="AC33" s="10">
        <v>354.17</v>
      </c>
      <c r="AD33" s="10">
        <v>350</v>
      </c>
      <c r="AE33" s="10">
        <v>350</v>
      </c>
      <c r="AF33" s="10">
        <v>350</v>
      </c>
      <c r="AG33" s="10">
        <v>350</v>
      </c>
      <c r="AH33" s="10">
        <v>360</v>
      </c>
      <c r="AI33" s="10">
        <v>388</v>
      </c>
      <c r="AJ33" s="10">
        <v>2272.73</v>
      </c>
      <c r="AK33" s="10">
        <v>2573.5300000000002</v>
      </c>
      <c r="AL33" s="10">
        <v>2460.3200000000002</v>
      </c>
      <c r="AM33" s="10">
        <v>2200</v>
      </c>
      <c r="AN33" s="10">
        <v>2600</v>
      </c>
      <c r="AO33" s="10">
        <v>2400</v>
      </c>
      <c r="AP33" s="10">
        <v>2500</v>
      </c>
      <c r="AQ33" s="10">
        <v>2600</v>
      </c>
      <c r="AR33" s="10">
        <v>2400</v>
      </c>
    </row>
    <row r="34" spans="2:44" ht="18" thickBot="1">
      <c r="B34" s="10" t="s">
        <v>23</v>
      </c>
      <c r="C34" s="10">
        <v>135500</v>
      </c>
      <c r="D34" s="10">
        <v>190000</v>
      </c>
      <c r="E34" s="10">
        <v>140000</v>
      </c>
      <c r="F34" s="10">
        <v>150000</v>
      </c>
      <c r="G34" s="10">
        <v>140000</v>
      </c>
      <c r="H34" s="10">
        <v>150000</v>
      </c>
      <c r="I34" s="10">
        <v>155000</v>
      </c>
      <c r="J34" s="10">
        <v>120000</v>
      </c>
      <c r="K34" s="10">
        <v>150000</v>
      </c>
      <c r="L34" s="28">
        <v>71</v>
      </c>
      <c r="M34" s="10">
        <v>62</v>
      </c>
      <c r="N34" s="10">
        <v>51</v>
      </c>
      <c r="O34" s="10">
        <v>25</v>
      </c>
      <c r="P34" s="10">
        <v>20</v>
      </c>
      <c r="Q34" s="10">
        <v>25</v>
      </c>
      <c r="R34" s="10">
        <v>33</v>
      </c>
      <c r="S34" s="10">
        <v>20</v>
      </c>
      <c r="T34" s="10">
        <v>16</v>
      </c>
      <c r="U34" s="10">
        <v>20</v>
      </c>
      <c r="V34" s="10">
        <v>25</v>
      </c>
      <c r="W34" s="10">
        <v>24</v>
      </c>
      <c r="X34" s="10">
        <v>12100</v>
      </c>
      <c r="Y34" s="10">
        <v>10800</v>
      </c>
      <c r="Z34" s="10">
        <v>10500</v>
      </c>
      <c r="AA34" s="10">
        <v>366.67</v>
      </c>
      <c r="AB34" s="10">
        <v>540</v>
      </c>
      <c r="AC34" s="10">
        <v>656.25</v>
      </c>
      <c r="AD34" s="10">
        <v>350</v>
      </c>
      <c r="AE34" s="10">
        <v>350</v>
      </c>
      <c r="AF34" s="10">
        <v>350</v>
      </c>
      <c r="AG34" s="10">
        <v>385</v>
      </c>
      <c r="AH34" s="10">
        <v>350</v>
      </c>
      <c r="AI34" s="10">
        <v>406</v>
      </c>
      <c r="AJ34" s="10">
        <v>1901.41</v>
      </c>
      <c r="AK34" s="10">
        <v>3064.52</v>
      </c>
      <c r="AL34" s="10">
        <v>2745.1</v>
      </c>
      <c r="AM34" s="10">
        <v>2100</v>
      </c>
      <c r="AN34" s="10">
        <v>2800</v>
      </c>
      <c r="AO34" s="10">
        <v>2700</v>
      </c>
      <c r="AP34" s="10">
        <v>2500</v>
      </c>
      <c r="AQ34" s="10">
        <v>2600</v>
      </c>
      <c r="AR34" s="10">
        <v>2400</v>
      </c>
    </row>
    <row r="35" spans="2:44" ht="18" thickBot="1">
      <c r="B35" s="11" t="s">
        <v>24</v>
      </c>
      <c r="C35" s="11">
        <f t="shared" ref="C35:Z35" si="1">SUM(C30:C34)</f>
        <v>771500</v>
      </c>
      <c r="D35" s="11">
        <f t="shared" si="1"/>
        <v>790000</v>
      </c>
      <c r="E35" s="11">
        <f t="shared" si="1"/>
        <v>785000</v>
      </c>
      <c r="F35" s="11">
        <f t="shared" si="1"/>
        <v>750000</v>
      </c>
      <c r="G35" s="11">
        <f t="shared" si="1"/>
        <v>700000</v>
      </c>
      <c r="H35" s="11">
        <f t="shared" si="1"/>
        <v>750000</v>
      </c>
      <c r="I35" s="11">
        <f t="shared" si="1"/>
        <v>765000</v>
      </c>
      <c r="J35" s="11">
        <f t="shared" si="1"/>
        <v>690000</v>
      </c>
      <c r="K35" s="11">
        <f t="shared" si="1"/>
        <v>705000</v>
      </c>
      <c r="L35" s="29">
        <f t="shared" si="1"/>
        <v>338</v>
      </c>
      <c r="M35" s="11">
        <f t="shared" si="1"/>
        <v>313</v>
      </c>
      <c r="N35" s="11">
        <f t="shared" si="1"/>
        <v>312</v>
      </c>
      <c r="O35" s="11">
        <f t="shared" si="1"/>
        <v>125</v>
      </c>
      <c r="P35" s="11">
        <f t="shared" si="1"/>
        <v>100</v>
      </c>
      <c r="Q35" s="11">
        <f t="shared" si="1"/>
        <v>125</v>
      </c>
      <c r="R35" s="11">
        <f t="shared" si="1"/>
        <v>118</v>
      </c>
      <c r="S35" s="11">
        <f t="shared" si="1"/>
        <v>88</v>
      </c>
      <c r="T35" s="11">
        <f t="shared" si="1"/>
        <v>101</v>
      </c>
      <c r="U35" s="11">
        <f t="shared" si="1"/>
        <v>96</v>
      </c>
      <c r="V35" s="11">
        <f t="shared" si="1"/>
        <v>111</v>
      </c>
      <c r="W35" s="11">
        <f t="shared" si="1"/>
        <v>103</v>
      </c>
      <c r="X35" s="11">
        <f t="shared" si="1"/>
        <v>43800</v>
      </c>
      <c r="Y35" s="11">
        <f t="shared" si="1"/>
        <v>44300</v>
      </c>
      <c r="Z35" s="11">
        <f t="shared" si="1"/>
        <v>41800</v>
      </c>
      <c r="AA35" s="11">
        <f t="shared" ref="AA35:AR35" si="2">AVERAGE(AA30:AA34)</f>
        <v>375.89400000000006</v>
      </c>
      <c r="AB35" s="11">
        <f t="shared" si="2"/>
        <v>509.43799999999999</v>
      </c>
      <c r="AC35" s="11">
        <f t="shared" si="2"/>
        <v>430.07399999999996</v>
      </c>
      <c r="AD35" s="11">
        <f t="shared" si="2"/>
        <v>350</v>
      </c>
      <c r="AE35" s="11">
        <f t="shared" si="2"/>
        <v>350</v>
      </c>
      <c r="AF35" s="11">
        <f t="shared" si="2"/>
        <v>350</v>
      </c>
      <c r="AG35" s="11">
        <f t="shared" si="2"/>
        <v>377.4</v>
      </c>
      <c r="AH35" s="11">
        <f t="shared" si="2"/>
        <v>354</v>
      </c>
      <c r="AI35" s="11">
        <f t="shared" si="2"/>
        <v>383.2</v>
      </c>
      <c r="AJ35" s="11">
        <f t="shared" si="2"/>
        <v>2245.6239999999998</v>
      </c>
      <c r="AK35" s="11">
        <f t="shared" si="2"/>
        <v>2523.9380000000001</v>
      </c>
      <c r="AL35" s="11">
        <f t="shared" si="2"/>
        <v>2524.4300000000003</v>
      </c>
      <c r="AM35" s="11">
        <f t="shared" si="2"/>
        <v>2220</v>
      </c>
      <c r="AN35" s="11">
        <f t="shared" si="2"/>
        <v>2440</v>
      </c>
      <c r="AO35" s="11">
        <f t="shared" si="2"/>
        <v>2420</v>
      </c>
      <c r="AP35" s="11">
        <f t="shared" si="2"/>
        <v>2500</v>
      </c>
      <c r="AQ35" s="11">
        <f t="shared" si="2"/>
        <v>2600</v>
      </c>
      <c r="AR35" s="11">
        <f t="shared" si="2"/>
        <v>2400</v>
      </c>
    </row>
    <row r="36" spans="2:44" ht="14.4"/>
    <row r="37" spans="2:44" thickBot="1"/>
    <row r="38" spans="2:44" thickBot="1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4"/>
    </row>
    <row r="39" spans="2:44" thickBot="1">
      <c r="B39" s="4"/>
      <c r="C39" s="36" t="s">
        <v>29</v>
      </c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8"/>
    </row>
    <row r="40" spans="2:44" thickBot="1">
      <c r="B40" s="4"/>
      <c r="C40" s="6" t="s">
        <v>30</v>
      </c>
      <c r="D40" s="6" t="s">
        <v>31</v>
      </c>
      <c r="E40" s="7" t="s">
        <v>32</v>
      </c>
      <c r="F40" s="6" t="s">
        <v>30</v>
      </c>
      <c r="G40" s="6" t="s">
        <v>31</v>
      </c>
      <c r="H40" s="7" t="s">
        <v>32</v>
      </c>
      <c r="I40" s="6" t="s">
        <v>30</v>
      </c>
      <c r="J40" s="6" t="s">
        <v>31</v>
      </c>
      <c r="K40" s="7" t="s">
        <v>32</v>
      </c>
      <c r="L40" s="6" t="s">
        <v>30</v>
      </c>
      <c r="M40" s="6" t="s">
        <v>31</v>
      </c>
      <c r="N40" s="7" t="s">
        <v>32</v>
      </c>
      <c r="O40" s="6" t="s">
        <v>30</v>
      </c>
      <c r="P40" s="6" t="s">
        <v>31</v>
      </c>
      <c r="Q40" s="7" t="s">
        <v>32</v>
      </c>
      <c r="R40" s="6" t="s">
        <v>30</v>
      </c>
      <c r="S40" s="6" t="s">
        <v>31</v>
      </c>
      <c r="T40" s="7" t="s">
        <v>32</v>
      </c>
      <c r="U40" s="6" t="s">
        <v>30</v>
      </c>
      <c r="V40" s="6" t="s">
        <v>31</v>
      </c>
      <c r="W40" s="7" t="s">
        <v>32</v>
      </c>
      <c r="X40" s="6" t="s">
        <v>30</v>
      </c>
      <c r="Y40" s="6" t="s">
        <v>31</v>
      </c>
      <c r="Z40" s="7" t="s">
        <v>32</v>
      </c>
      <c r="AA40" s="6" t="s">
        <v>30</v>
      </c>
      <c r="AB40" s="6" t="s">
        <v>31</v>
      </c>
      <c r="AC40" s="7" t="s">
        <v>32</v>
      </c>
      <c r="AD40" s="6" t="s">
        <v>30</v>
      </c>
      <c r="AE40" s="6" t="s">
        <v>31</v>
      </c>
      <c r="AF40" s="7" t="s">
        <v>32</v>
      </c>
      <c r="AG40" s="6" t="s">
        <v>30</v>
      </c>
      <c r="AH40" s="6" t="s">
        <v>31</v>
      </c>
      <c r="AI40" s="7" t="s">
        <v>32</v>
      </c>
      <c r="AJ40" s="6" t="s">
        <v>30</v>
      </c>
      <c r="AK40" s="6" t="s">
        <v>31</v>
      </c>
      <c r="AL40" s="7" t="s">
        <v>32</v>
      </c>
      <c r="AM40" s="6" t="s">
        <v>30</v>
      </c>
      <c r="AN40" s="6" t="s">
        <v>31</v>
      </c>
      <c r="AO40" s="7" t="s">
        <v>32</v>
      </c>
      <c r="AP40" s="6" t="s">
        <v>30</v>
      </c>
      <c r="AQ40" s="6" t="s">
        <v>31</v>
      </c>
      <c r="AR40" s="7" t="s">
        <v>32</v>
      </c>
    </row>
    <row r="41" spans="2:44" ht="42" thickBot="1">
      <c r="B41" s="4"/>
      <c r="C41" s="8" t="s">
        <v>5</v>
      </c>
      <c r="D41" s="8" t="s">
        <v>5</v>
      </c>
      <c r="E41" s="9" t="s">
        <v>5</v>
      </c>
      <c r="F41" s="8" t="s">
        <v>6</v>
      </c>
      <c r="G41" s="8" t="s">
        <v>6</v>
      </c>
      <c r="H41" s="9" t="s">
        <v>6</v>
      </c>
      <c r="I41" s="8" t="s">
        <v>7</v>
      </c>
      <c r="J41" s="8" t="s">
        <v>7</v>
      </c>
      <c r="K41" s="9" t="s">
        <v>7</v>
      </c>
      <c r="L41" s="8" t="s">
        <v>8</v>
      </c>
      <c r="M41" s="8" t="s">
        <v>8</v>
      </c>
      <c r="N41" s="9" t="s">
        <v>8</v>
      </c>
      <c r="O41" s="8" t="s">
        <v>9</v>
      </c>
      <c r="P41" s="8" t="s">
        <v>9</v>
      </c>
      <c r="Q41" s="9" t="s">
        <v>9</v>
      </c>
      <c r="R41" s="8" t="s">
        <v>10</v>
      </c>
      <c r="S41" s="8" t="s">
        <v>10</v>
      </c>
      <c r="T41" s="9" t="s">
        <v>10</v>
      </c>
      <c r="U41" s="8" t="s">
        <v>11</v>
      </c>
      <c r="V41" s="8" t="s">
        <v>11</v>
      </c>
      <c r="W41" s="9" t="s">
        <v>11</v>
      </c>
      <c r="X41" s="8" t="s">
        <v>12</v>
      </c>
      <c r="Y41" s="8" t="s">
        <v>12</v>
      </c>
      <c r="Z41" s="9" t="s">
        <v>12</v>
      </c>
      <c r="AA41" s="8" t="s">
        <v>13</v>
      </c>
      <c r="AB41" s="8" t="s">
        <v>13</v>
      </c>
      <c r="AC41" s="9" t="s">
        <v>13</v>
      </c>
      <c r="AD41" s="8" t="s">
        <v>14</v>
      </c>
      <c r="AE41" s="8" t="s">
        <v>14</v>
      </c>
      <c r="AF41" s="9" t="s">
        <v>14</v>
      </c>
      <c r="AG41" s="8" t="s">
        <v>15</v>
      </c>
      <c r="AH41" s="8" t="s">
        <v>15</v>
      </c>
      <c r="AI41" s="9" t="s">
        <v>15</v>
      </c>
      <c r="AJ41" s="8" t="s">
        <v>16</v>
      </c>
      <c r="AK41" s="8" t="s">
        <v>16</v>
      </c>
      <c r="AL41" s="9" t="s">
        <v>16</v>
      </c>
      <c r="AM41" s="8" t="s">
        <v>17</v>
      </c>
      <c r="AN41" s="8" t="s">
        <v>17</v>
      </c>
      <c r="AO41" s="9" t="s">
        <v>17</v>
      </c>
      <c r="AP41" s="8" t="s">
        <v>18</v>
      </c>
      <c r="AQ41" s="8" t="s">
        <v>18</v>
      </c>
      <c r="AR41" s="9" t="s">
        <v>18</v>
      </c>
    </row>
    <row r="42" spans="2:44" ht="18" thickBot="1">
      <c r="B42" s="10" t="s">
        <v>19</v>
      </c>
      <c r="C42" s="10">
        <v>130000</v>
      </c>
      <c r="D42" s="10">
        <v>135000</v>
      </c>
      <c r="E42" s="10">
        <v>150000</v>
      </c>
      <c r="F42" s="10">
        <v>150000</v>
      </c>
      <c r="G42" s="10">
        <v>160000</v>
      </c>
      <c r="H42" s="10">
        <v>140000</v>
      </c>
      <c r="I42" s="10">
        <v>125000</v>
      </c>
      <c r="J42" s="10">
        <v>160000</v>
      </c>
      <c r="K42" s="10">
        <v>135000</v>
      </c>
      <c r="L42" s="10">
        <v>58</v>
      </c>
      <c r="M42" s="10">
        <v>63</v>
      </c>
      <c r="N42" s="10">
        <v>55</v>
      </c>
      <c r="O42" s="10">
        <v>30</v>
      </c>
      <c r="P42" s="10">
        <v>30</v>
      </c>
      <c r="Q42" s="10">
        <v>25</v>
      </c>
      <c r="R42" s="10">
        <v>12</v>
      </c>
      <c r="S42" s="10">
        <v>25</v>
      </c>
      <c r="T42" s="10">
        <v>11</v>
      </c>
      <c r="U42" s="10">
        <v>11</v>
      </c>
      <c r="V42" s="10">
        <v>21</v>
      </c>
      <c r="W42" s="10">
        <v>14</v>
      </c>
      <c r="X42" s="10">
        <v>5000</v>
      </c>
      <c r="Y42" s="10">
        <v>4500</v>
      </c>
      <c r="Z42" s="10">
        <v>5000</v>
      </c>
      <c r="AA42" s="10">
        <v>416.67</v>
      </c>
      <c r="AB42" s="10">
        <v>180</v>
      </c>
      <c r="AC42" s="10">
        <v>454.55</v>
      </c>
      <c r="AD42" s="10">
        <v>400</v>
      </c>
      <c r="AE42" s="10">
        <v>350</v>
      </c>
      <c r="AF42" s="10">
        <v>350</v>
      </c>
      <c r="AG42" s="10">
        <v>400</v>
      </c>
      <c r="AH42" s="10">
        <v>385</v>
      </c>
      <c r="AI42" s="10">
        <v>390</v>
      </c>
      <c r="AJ42" s="10">
        <v>2068.9699999999998</v>
      </c>
      <c r="AK42" s="10">
        <v>2142.86</v>
      </c>
      <c r="AL42" s="10">
        <v>2727.27</v>
      </c>
      <c r="AM42" s="10">
        <v>2100</v>
      </c>
      <c r="AN42" s="10">
        <v>2000</v>
      </c>
      <c r="AO42" s="10">
        <v>2600</v>
      </c>
      <c r="AP42" s="10">
        <v>2700</v>
      </c>
      <c r="AQ42" s="10">
        <v>2500</v>
      </c>
      <c r="AR42" s="10">
        <v>2600</v>
      </c>
    </row>
    <row r="43" spans="2:44" ht="18" thickBot="1">
      <c r="B43" s="10" t="s">
        <v>20</v>
      </c>
      <c r="C43" s="10">
        <v>175000</v>
      </c>
      <c r="D43" s="10">
        <v>155000</v>
      </c>
      <c r="E43" s="10">
        <v>190000</v>
      </c>
      <c r="F43" s="10">
        <v>150000</v>
      </c>
      <c r="G43" s="10">
        <v>160000</v>
      </c>
      <c r="H43" s="10">
        <v>140000</v>
      </c>
      <c r="I43" s="10">
        <v>145000</v>
      </c>
      <c r="J43" s="10">
        <v>125000</v>
      </c>
      <c r="K43" s="10">
        <v>125000</v>
      </c>
      <c r="L43" s="10">
        <v>70</v>
      </c>
      <c r="M43" s="10">
        <v>74</v>
      </c>
      <c r="N43" s="10">
        <v>65</v>
      </c>
      <c r="O43" s="10">
        <v>30</v>
      </c>
      <c r="P43" s="10">
        <v>30</v>
      </c>
      <c r="Q43" s="10">
        <v>25</v>
      </c>
      <c r="R43" s="10">
        <v>26</v>
      </c>
      <c r="S43" s="10">
        <v>18</v>
      </c>
      <c r="T43" s="10">
        <v>23</v>
      </c>
      <c r="U43" s="10">
        <v>17</v>
      </c>
      <c r="V43" s="10">
        <v>18</v>
      </c>
      <c r="W43" s="10">
        <v>15</v>
      </c>
      <c r="X43" s="10">
        <v>9800</v>
      </c>
      <c r="Y43" s="10">
        <v>9800</v>
      </c>
      <c r="Z43" s="10">
        <v>6500</v>
      </c>
      <c r="AA43" s="10">
        <v>376.92</v>
      </c>
      <c r="AB43" s="10">
        <v>544.44000000000005</v>
      </c>
      <c r="AC43" s="10">
        <v>282.61</v>
      </c>
      <c r="AD43" s="10">
        <v>400</v>
      </c>
      <c r="AE43" s="10">
        <v>350</v>
      </c>
      <c r="AF43" s="10">
        <v>350</v>
      </c>
      <c r="AG43" s="10">
        <v>402</v>
      </c>
      <c r="AH43" s="10">
        <v>290</v>
      </c>
      <c r="AI43" s="10">
        <v>380</v>
      </c>
      <c r="AJ43" s="10">
        <v>2500</v>
      </c>
      <c r="AK43" s="10">
        <v>2094.59</v>
      </c>
      <c r="AL43" s="10">
        <v>2923.08</v>
      </c>
      <c r="AM43" s="10">
        <v>2200</v>
      </c>
      <c r="AN43" s="10">
        <v>2000</v>
      </c>
      <c r="AO43" s="10">
        <v>2200</v>
      </c>
      <c r="AP43" s="10">
        <v>2700</v>
      </c>
      <c r="AQ43" s="10">
        <v>2500</v>
      </c>
      <c r="AR43" s="10">
        <v>2600</v>
      </c>
    </row>
    <row r="44" spans="2:44" ht="18" thickBot="1">
      <c r="B44" s="10" t="s">
        <v>21</v>
      </c>
      <c r="C44" s="10">
        <v>180000</v>
      </c>
      <c r="D44" s="10">
        <v>145000</v>
      </c>
      <c r="E44" s="10">
        <v>155000</v>
      </c>
      <c r="F44" s="10">
        <v>150000</v>
      </c>
      <c r="G44" s="10">
        <v>160000</v>
      </c>
      <c r="H44" s="10">
        <v>140000</v>
      </c>
      <c r="I44" s="10">
        <v>155000</v>
      </c>
      <c r="J44" s="10">
        <v>130000</v>
      </c>
      <c r="K44" s="10">
        <v>125000</v>
      </c>
      <c r="L44" s="10">
        <v>55</v>
      </c>
      <c r="M44" s="10">
        <v>61</v>
      </c>
      <c r="N44" s="10">
        <v>44</v>
      </c>
      <c r="O44" s="10">
        <v>30</v>
      </c>
      <c r="P44" s="10">
        <v>30</v>
      </c>
      <c r="Q44" s="10">
        <v>25</v>
      </c>
      <c r="R44" s="10">
        <v>31</v>
      </c>
      <c r="S44" s="10">
        <v>25</v>
      </c>
      <c r="T44" s="10">
        <v>20</v>
      </c>
      <c r="U44" s="10">
        <v>25</v>
      </c>
      <c r="V44" s="10">
        <v>21</v>
      </c>
      <c r="W44" s="10">
        <v>22</v>
      </c>
      <c r="X44" s="10">
        <v>9500</v>
      </c>
      <c r="Y44" s="10">
        <v>10200</v>
      </c>
      <c r="Z44" s="10">
        <v>8000</v>
      </c>
      <c r="AA44" s="10">
        <v>306.45</v>
      </c>
      <c r="AB44" s="10">
        <v>408</v>
      </c>
      <c r="AC44" s="10">
        <v>400</v>
      </c>
      <c r="AD44" s="10">
        <v>400</v>
      </c>
      <c r="AE44" s="10">
        <v>350</v>
      </c>
      <c r="AF44" s="10">
        <v>350</v>
      </c>
      <c r="AG44" s="10">
        <v>350</v>
      </c>
      <c r="AH44" s="10">
        <v>385</v>
      </c>
      <c r="AI44" s="10">
        <v>352</v>
      </c>
      <c r="AJ44" s="10">
        <v>3272.73</v>
      </c>
      <c r="AK44" s="10">
        <v>2377.0500000000002</v>
      </c>
      <c r="AL44" s="10">
        <v>3522.73</v>
      </c>
      <c r="AM44" s="10">
        <v>3000</v>
      </c>
      <c r="AN44" s="10">
        <v>2200</v>
      </c>
      <c r="AO44" s="10">
        <v>2100</v>
      </c>
      <c r="AP44" s="10">
        <v>2700</v>
      </c>
      <c r="AQ44" s="10">
        <v>2500</v>
      </c>
      <c r="AR44" s="10">
        <v>2600</v>
      </c>
    </row>
    <row r="45" spans="2:44" ht="18" thickBot="1">
      <c r="B45" s="10" t="s">
        <v>22</v>
      </c>
      <c r="C45" s="10">
        <v>160000</v>
      </c>
      <c r="D45" s="10">
        <v>180000</v>
      </c>
      <c r="E45" s="10">
        <v>175000</v>
      </c>
      <c r="F45" s="10">
        <v>150000</v>
      </c>
      <c r="G45" s="10">
        <v>160000</v>
      </c>
      <c r="H45" s="10">
        <v>140000</v>
      </c>
      <c r="I45" s="10">
        <v>145000</v>
      </c>
      <c r="J45" s="10">
        <v>140000</v>
      </c>
      <c r="K45" s="10">
        <v>160000</v>
      </c>
      <c r="L45" s="10">
        <v>68</v>
      </c>
      <c r="M45" s="10">
        <v>63</v>
      </c>
      <c r="N45" s="10">
        <v>50</v>
      </c>
      <c r="O45" s="10">
        <v>30</v>
      </c>
      <c r="P45" s="10">
        <v>30</v>
      </c>
      <c r="Q45" s="10">
        <v>25</v>
      </c>
      <c r="R45" s="10">
        <v>28</v>
      </c>
      <c r="S45" s="10">
        <v>15</v>
      </c>
      <c r="T45" s="10">
        <v>14</v>
      </c>
      <c r="U45" s="10">
        <v>17</v>
      </c>
      <c r="V45" s="10">
        <v>18</v>
      </c>
      <c r="W45" s="10">
        <v>21</v>
      </c>
      <c r="X45" s="10">
        <v>9000</v>
      </c>
      <c r="Y45" s="10">
        <v>5600</v>
      </c>
      <c r="Z45" s="10">
        <v>7000</v>
      </c>
      <c r="AA45" s="10">
        <v>321.43</v>
      </c>
      <c r="AB45" s="10">
        <v>373.33</v>
      </c>
      <c r="AC45" s="10">
        <v>500</v>
      </c>
      <c r="AD45" s="10">
        <v>400</v>
      </c>
      <c r="AE45" s="10">
        <v>350</v>
      </c>
      <c r="AF45" s="10">
        <v>350</v>
      </c>
      <c r="AG45" s="10">
        <v>350</v>
      </c>
      <c r="AH45" s="10">
        <v>360</v>
      </c>
      <c r="AI45" s="10">
        <v>388</v>
      </c>
      <c r="AJ45" s="10">
        <v>2352.94</v>
      </c>
      <c r="AK45" s="10">
        <v>2857.14</v>
      </c>
      <c r="AL45" s="10">
        <v>3500</v>
      </c>
      <c r="AM45" s="10">
        <v>2200</v>
      </c>
      <c r="AN45" s="10">
        <v>2450</v>
      </c>
      <c r="AO45" s="10">
        <v>3300</v>
      </c>
      <c r="AP45" s="10">
        <v>2700</v>
      </c>
      <c r="AQ45" s="10">
        <v>2500</v>
      </c>
      <c r="AR45" s="10">
        <v>2600</v>
      </c>
    </row>
    <row r="46" spans="2:44" ht="18" thickBot="1">
      <c r="B46" s="10" t="s">
        <v>23</v>
      </c>
      <c r="C46" s="10">
        <v>205000</v>
      </c>
      <c r="D46" s="10">
        <v>195000</v>
      </c>
      <c r="E46" s="10">
        <v>125000</v>
      </c>
      <c r="F46" s="10">
        <v>150000</v>
      </c>
      <c r="G46" s="10">
        <v>160000</v>
      </c>
      <c r="H46" s="10">
        <v>140000</v>
      </c>
      <c r="I46" s="10">
        <v>125000</v>
      </c>
      <c r="J46" s="10">
        <v>150000</v>
      </c>
      <c r="K46" s="10">
        <v>145000</v>
      </c>
      <c r="L46" s="10">
        <v>62</v>
      </c>
      <c r="M46" s="10">
        <v>51</v>
      </c>
      <c r="N46" s="10">
        <v>35</v>
      </c>
      <c r="O46" s="10">
        <v>30</v>
      </c>
      <c r="P46" s="10">
        <v>30</v>
      </c>
      <c r="Q46" s="10">
        <v>25</v>
      </c>
      <c r="R46" s="10">
        <v>25</v>
      </c>
      <c r="S46" s="10">
        <v>18</v>
      </c>
      <c r="T46" s="10">
        <v>20</v>
      </c>
      <c r="U46" s="10">
        <v>20</v>
      </c>
      <c r="V46" s="10">
        <v>13</v>
      </c>
      <c r="W46" s="10">
        <v>20</v>
      </c>
      <c r="X46" s="10">
        <v>10800</v>
      </c>
      <c r="Y46" s="10">
        <v>9500</v>
      </c>
      <c r="Z46" s="10">
        <v>9000</v>
      </c>
      <c r="AA46" s="10">
        <v>432</v>
      </c>
      <c r="AB46" s="10">
        <v>527.78</v>
      </c>
      <c r="AC46" s="10">
        <v>450</v>
      </c>
      <c r="AD46" s="10">
        <v>400</v>
      </c>
      <c r="AE46" s="10">
        <v>350</v>
      </c>
      <c r="AF46" s="10">
        <v>350</v>
      </c>
      <c r="AG46" s="10">
        <v>385</v>
      </c>
      <c r="AH46" s="10">
        <v>350</v>
      </c>
      <c r="AI46" s="10">
        <v>406</v>
      </c>
      <c r="AJ46" s="10">
        <v>3306.45</v>
      </c>
      <c r="AK46" s="10">
        <v>3823.53</v>
      </c>
      <c r="AL46" s="10">
        <v>3571.43</v>
      </c>
      <c r="AM46" s="10">
        <v>2900</v>
      </c>
      <c r="AN46" s="10">
        <v>3100</v>
      </c>
      <c r="AO46" s="10">
        <v>3100</v>
      </c>
      <c r="AP46" s="10">
        <v>2700</v>
      </c>
      <c r="AQ46" s="10">
        <v>2500</v>
      </c>
      <c r="AR46" s="10">
        <v>2600</v>
      </c>
    </row>
    <row r="47" spans="2:44" ht="18" thickBot="1">
      <c r="B47" s="11" t="s">
        <v>24</v>
      </c>
      <c r="C47" s="11">
        <f t="shared" ref="C47:Z47" si="3">SUM(C42:C46)</f>
        <v>850000</v>
      </c>
      <c r="D47" s="11">
        <f t="shared" si="3"/>
        <v>810000</v>
      </c>
      <c r="E47" s="11">
        <f t="shared" si="3"/>
        <v>795000</v>
      </c>
      <c r="F47" s="11">
        <f t="shared" si="3"/>
        <v>750000</v>
      </c>
      <c r="G47" s="11">
        <f t="shared" si="3"/>
        <v>800000</v>
      </c>
      <c r="H47" s="11">
        <f t="shared" si="3"/>
        <v>700000</v>
      </c>
      <c r="I47" s="11">
        <f t="shared" si="3"/>
        <v>695000</v>
      </c>
      <c r="J47" s="11">
        <f t="shared" si="3"/>
        <v>705000</v>
      </c>
      <c r="K47" s="11">
        <f t="shared" si="3"/>
        <v>690000</v>
      </c>
      <c r="L47" s="11">
        <f t="shared" si="3"/>
        <v>313</v>
      </c>
      <c r="M47" s="11">
        <f t="shared" si="3"/>
        <v>312</v>
      </c>
      <c r="N47" s="11">
        <f t="shared" si="3"/>
        <v>249</v>
      </c>
      <c r="O47" s="11">
        <f t="shared" si="3"/>
        <v>150</v>
      </c>
      <c r="P47" s="11">
        <f t="shared" si="3"/>
        <v>150</v>
      </c>
      <c r="Q47" s="11">
        <f t="shared" si="3"/>
        <v>125</v>
      </c>
      <c r="R47" s="11">
        <f t="shared" si="3"/>
        <v>122</v>
      </c>
      <c r="S47" s="11">
        <f t="shared" si="3"/>
        <v>101</v>
      </c>
      <c r="T47" s="11">
        <f t="shared" si="3"/>
        <v>88</v>
      </c>
      <c r="U47" s="11">
        <f t="shared" si="3"/>
        <v>90</v>
      </c>
      <c r="V47" s="11">
        <f t="shared" si="3"/>
        <v>91</v>
      </c>
      <c r="W47" s="11">
        <f t="shared" si="3"/>
        <v>92</v>
      </c>
      <c r="X47" s="11">
        <f t="shared" si="3"/>
        <v>44100</v>
      </c>
      <c r="Y47" s="11">
        <f t="shared" si="3"/>
        <v>39600</v>
      </c>
      <c r="Z47" s="11">
        <f t="shared" si="3"/>
        <v>35500</v>
      </c>
      <c r="AA47" s="11">
        <f t="shared" ref="AA47:AR47" si="4">AVERAGE(AA42:AA46)</f>
        <v>370.69400000000002</v>
      </c>
      <c r="AB47" s="11">
        <f t="shared" si="4"/>
        <v>406.71</v>
      </c>
      <c r="AC47" s="11">
        <f t="shared" si="4"/>
        <v>417.43199999999996</v>
      </c>
      <c r="AD47" s="11">
        <f t="shared" si="4"/>
        <v>400</v>
      </c>
      <c r="AE47" s="11">
        <f t="shared" si="4"/>
        <v>350</v>
      </c>
      <c r="AF47" s="11">
        <f t="shared" si="4"/>
        <v>350</v>
      </c>
      <c r="AG47" s="11">
        <f t="shared" si="4"/>
        <v>377.4</v>
      </c>
      <c r="AH47" s="11">
        <f t="shared" si="4"/>
        <v>354</v>
      </c>
      <c r="AI47" s="11">
        <f t="shared" si="4"/>
        <v>383.2</v>
      </c>
      <c r="AJ47" s="11">
        <f t="shared" si="4"/>
        <v>2700.2179999999998</v>
      </c>
      <c r="AK47" s="11">
        <f t="shared" si="4"/>
        <v>2659.0340000000006</v>
      </c>
      <c r="AL47" s="11">
        <f t="shared" si="4"/>
        <v>3248.902</v>
      </c>
      <c r="AM47" s="11">
        <f t="shared" si="4"/>
        <v>2480</v>
      </c>
      <c r="AN47" s="11">
        <f t="shared" si="4"/>
        <v>2350</v>
      </c>
      <c r="AO47" s="11">
        <f t="shared" si="4"/>
        <v>2660</v>
      </c>
      <c r="AP47" s="11">
        <f t="shared" si="4"/>
        <v>2700</v>
      </c>
      <c r="AQ47" s="11">
        <f t="shared" si="4"/>
        <v>2500</v>
      </c>
      <c r="AR47" s="11">
        <f t="shared" si="4"/>
        <v>2600</v>
      </c>
    </row>
    <row r="48" spans="2:44" ht="14.4"/>
    <row r="49" spans="2:44" thickBot="1"/>
    <row r="50" spans="2:44" thickBot="1">
      <c r="B50" s="4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4"/>
    </row>
    <row r="51" spans="2:44" thickBot="1">
      <c r="B51" s="4"/>
      <c r="C51" s="36" t="s">
        <v>33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8"/>
    </row>
    <row r="52" spans="2:44" thickBot="1">
      <c r="B52" s="4"/>
      <c r="C52" s="6" t="s">
        <v>34</v>
      </c>
      <c r="D52" s="6" t="s">
        <v>35</v>
      </c>
      <c r="E52" s="7" t="s">
        <v>36</v>
      </c>
      <c r="F52" s="6" t="s">
        <v>34</v>
      </c>
      <c r="G52" s="6" t="s">
        <v>35</v>
      </c>
      <c r="H52" s="7" t="s">
        <v>36</v>
      </c>
      <c r="I52" s="6" t="s">
        <v>34</v>
      </c>
      <c r="J52" s="6" t="s">
        <v>35</v>
      </c>
      <c r="K52" s="7" t="s">
        <v>36</v>
      </c>
      <c r="L52" s="6" t="s">
        <v>34</v>
      </c>
      <c r="M52" s="6" t="s">
        <v>35</v>
      </c>
      <c r="N52" s="7" t="s">
        <v>36</v>
      </c>
      <c r="O52" s="6" t="s">
        <v>34</v>
      </c>
      <c r="P52" s="6" t="s">
        <v>35</v>
      </c>
      <c r="Q52" s="7" t="s">
        <v>36</v>
      </c>
      <c r="R52" s="6" t="s">
        <v>34</v>
      </c>
      <c r="S52" s="6" t="s">
        <v>35</v>
      </c>
      <c r="T52" s="7" t="s">
        <v>36</v>
      </c>
      <c r="U52" s="6" t="s">
        <v>34</v>
      </c>
      <c r="V52" s="6" t="s">
        <v>35</v>
      </c>
      <c r="W52" s="7" t="s">
        <v>36</v>
      </c>
      <c r="X52" s="6" t="s">
        <v>34</v>
      </c>
      <c r="Y52" s="6" t="s">
        <v>35</v>
      </c>
      <c r="Z52" s="7" t="s">
        <v>36</v>
      </c>
      <c r="AA52" s="6" t="s">
        <v>34</v>
      </c>
      <c r="AB52" s="6" t="s">
        <v>35</v>
      </c>
      <c r="AC52" s="7" t="s">
        <v>36</v>
      </c>
      <c r="AD52" s="6" t="s">
        <v>34</v>
      </c>
      <c r="AE52" s="6" t="s">
        <v>35</v>
      </c>
      <c r="AF52" s="7" t="s">
        <v>36</v>
      </c>
      <c r="AG52" s="6" t="s">
        <v>34</v>
      </c>
      <c r="AH52" s="6" t="s">
        <v>35</v>
      </c>
      <c r="AI52" s="7" t="s">
        <v>36</v>
      </c>
      <c r="AJ52" s="6" t="s">
        <v>34</v>
      </c>
      <c r="AK52" s="6" t="s">
        <v>35</v>
      </c>
      <c r="AL52" s="7" t="s">
        <v>36</v>
      </c>
      <c r="AM52" s="6" t="s">
        <v>34</v>
      </c>
      <c r="AN52" s="6" t="s">
        <v>35</v>
      </c>
      <c r="AO52" s="7" t="s">
        <v>36</v>
      </c>
      <c r="AP52" s="6" t="s">
        <v>34</v>
      </c>
      <c r="AQ52" s="6" t="s">
        <v>35</v>
      </c>
      <c r="AR52" s="7" t="s">
        <v>36</v>
      </c>
    </row>
    <row r="53" spans="2:44" ht="42" thickBot="1">
      <c r="B53" s="4"/>
      <c r="C53" s="8" t="s">
        <v>5</v>
      </c>
      <c r="D53" s="8" t="s">
        <v>5</v>
      </c>
      <c r="E53" s="9" t="s">
        <v>5</v>
      </c>
      <c r="F53" s="8" t="s">
        <v>6</v>
      </c>
      <c r="G53" s="8" t="s">
        <v>6</v>
      </c>
      <c r="H53" s="9" t="s">
        <v>6</v>
      </c>
      <c r="I53" s="8" t="s">
        <v>7</v>
      </c>
      <c r="J53" s="8" t="s">
        <v>7</v>
      </c>
      <c r="K53" s="9" t="s">
        <v>7</v>
      </c>
      <c r="L53" s="8" t="s">
        <v>8</v>
      </c>
      <c r="M53" s="8" t="s">
        <v>8</v>
      </c>
      <c r="N53" s="9" t="s">
        <v>8</v>
      </c>
      <c r="O53" s="8" t="s">
        <v>9</v>
      </c>
      <c r="P53" s="8" t="s">
        <v>9</v>
      </c>
      <c r="Q53" s="9" t="s">
        <v>9</v>
      </c>
      <c r="R53" s="8" t="s">
        <v>10</v>
      </c>
      <c r="S53" s="8" t="s">
        <v>10</v>
      </c>
      <c r="T53" s="9" t="s">
        <v>10</v>
      </c>
      <c r="U53" s="8" t="s">
        <v>11</v>
      </c>
      <c r="V53" s="8" t="s">
        <v>11</v>
      </c>
      <c r="W53" s="9" t="s">
        <v>11</v>
      </c>
      <c r="X53" s="8" t="s">
        <v>12</v>
      </c>
      <c r="Y53" s="8" t="s">
        <v>12</v>
      </c>
      <c r="Z53" s="9" t="s">
        <v>12</v>
      </c>
      <c r="AA53" s="8" t="s">
        <v>13</v>
      </c>
      <c r="AB53" s="8" t="s">
        <v>13</v>
      </c>
      <c r="AC53" s="9" t="s">
        <v>13</v>
      </c>
      <c r="AD53" s="8" t="s">
        <v>14</v>
      </c>
      <c r="AE53" s="8" t="s">
        <v>14</v>
      </c>
      <c r="AF53" s="9" t="s">
        <v>14</v>
      </c>
      <c r="AG53" s="8" t="s">
        <v>15</v>
      </c>
      <c r="AH53" s="8" t="s">
        <v>15</v>
      </c>
      <c r="AI53" s="9" t="s">
        <v>15</v>
      </c>
      <c r="AJ53" s="8" t="s">
        <v>16</v>
      </c>
      <c r="AK53" s="8" t="s">
        <v>16</v>
      </c>
      <c r="AL53" s="9" t="s">
        <v>16</v>
      </c>
      <c r="AM53" s="8" t="s">
        <v>17</v>
      </c>
      <c r="AN53" s="8" t="s">
        <v>17</v>
      </c>
      <c r="AO53" s="9" t="s">
        <v>17</v>
      </c>
      <c r="AP53" s="8" t="s">
        <v>18</v>
      </c>
      <c r="AQ53" s="8" t="s">
        <v>18</v>
      </c>
      <c r="AR53" s="9" t="s">
        <v>18</v>
      </c>
    </row>
    <row r="54" spans="2:44" ht="18" thickBot="1">
      <c r="B54" s="10" t="s">
        <v>19</v>
      </c>
      <c r="C54" s="10">
        <v>150000</v>
      </c>
      <c r="D54" s="10">
        <v>145000</v>
      </c>
      <c r="E54" s="10">
        <v>145000</v>
      </c>
      <c r="F54" s="10">
        <v>160000</v>
      </c>
      <c r="G54" s="10">
        <v>145000</v>
      </c>
      <c r="H54" s="10">
        <v>160000</v>
      </c>
      <c r="I54" s="10">
        <v>160000</v>
      </c>
      <c r="J54" s="10">
        <v>125000</v>
      </c>
      <c r="K54" s="10">
        <v>145000</v>
      </c>
      <c r="L54" s="10">
        <v>55</v>
      </c>
      <c r="M54" s="10">
        <v>55</v>
      </c>
      <c r="N54" s="10">
        <v>60</v>
      </c>
      <c r="O54" s="10">
        <v>20</v>
      </c>
      <c r="P54" s="10">
        <v>25</v>
      </c>
      <c r="Q54" s="10">
        <v>35</v>
      </c>
      <c r="R54" s="10">
        <v>14</v>
      </c>
      <c r="S54" s="10">
        <v>18</v>
      </c>
      <c r="T54" s="10">
        <v>17</v>
      </c>
      <c r="U54" s="10">
        <v>21</v>
      </c>
      <c r="V54" s="10">
        <v>15</v>
      </c>
      <c r="W54" s="10">
        <v>11</v>
      </c>
      <c r="X54" s="10">
        <v>8000</v>
      </c>
      <c r="Y54" s="10">
        <v>6000</v>
      </c>
      <c r="Z54" s="10">
        <v>4000</v>
      </c>
      <c r="AA54" s="10">
        <v>571.42999999999995</v>
      </c>
      <c r="AB54" s="10">
        <v>333.33</v>
      </c>
      <c r="AC54" s="10">
        <v>235.29</v>
      </c>
      <c r="AD54" s="10">
        <v>350</v>
      </c>
      <c r="AE54" s="10">
        <v>450</v>
      </c>
      <c r="AF54" s="10">
        <v>350</v>
      </c>
      <c r="AG54" s="10">
        <v>400</v>
      </c>
      <c r="AH54" s="10">
        <v>385</v>
      </c>
      <c r="AI54" s="10">
        <v>390</v>
      </c>
      <c r="AJ54" s="10">
        <v>2909.09</v>
      </c>
      <c r="AK54" s="10">
        <v>2636.36</v>
      </c>
      <c r="AL54" s="10">
        <v>2416.67</v>
      </c>
      <c r="AM54" s="10">
        <v>2800</v>
      </c>
      <c r="AN54" s="10">
        <v>2500</v>
      </c>
      <c r="AO54" s="10">
        <v>2300</v>
      </c>
      <c r="AP54" s="10">
        <v>2200</v>
      </c>
      <c r="AQ54" s="10">
        <v>2300</v>
      </c>
      <c r="AR54" s="10">
        <v>2500</v>
      </c>
    </row>
    <row r="55" spans="2:44" ht="18" thickBot="1">
      <c r="B55" s="10" t="s">
        <v>20</v>
      </c>
      <c r="C55" s="10">
        <v>185000</v>
      </c>
      <c r="D55" s="10">
        <v>150000</v>
      </c>
      <c r="E55" s="10">
        <v>185000</v>
      </c>
      <c r="F55" s="10">
        <v>160000</v>
      </c>
      <c r="G55" s="10">
        <v>145000</v>
      </c>
      <c r="H55" s="10">
        <v>160000</v>
      </c>
      <c r="I55" s="10">
        <v>125000</v>
      </c>
      <c r="J55" s="10">
        <v>130000</v>
      </c>
      <c r="K55" s="10">
        <v>120000</v>
      </c>
      <c r="L55" s="10">
        <v>56</v>
      </c>
      <c r="M55" s="10">
        <v>45</v>
      </c>
      <c r="N55" s="10">
        <v>65</v>
      </c>
      <c r="O55" s="10">
        <v>20</v>
      </c>
      <c r="P55" s="10">
        <v>25</v>
      </c>
      <c r="Q55" s="10">
        <v>35</v>
      </c>
      <c r="R55" s="10">
        <v>15</v>
      </c>
      <c r="S55" s="10">
        <v>25</v>
      </c>
      <c r="T55" s="10">
        <v>25</v>
      </c>
      <c r="U55" s="10">
        <v>14</v>
      </c>
      <c r="V55" s="10">
        <v>22</v>
      </c>
      <c r="W55" s="10">
        <v>12</v>
      </c>
      <c r="X55" s="10">
        <v>5500</v>
      </c>
      <c r="Y55" s="10">
        <v>8500</v>
      </c>
      <c r="Z55" s="10">
        <v>5000</v>
      </c>
      <c r="AA55" s="10">
        <v>366.67</v>
      </c>
      <c r="AB55" s="10">
        <v>340</v>
      </c>
      <c r="AC55" s="10">
        <v>200</v>
      </c>
      <c r="AD55" s="10">
        <v>350</v>
      </c>
      <c r="AE55" s="10">
        <v>450</v>
      </c>
      <c r="AF55" s="10">
        <v>350</v>
      </c>
      <c r="AG55" s="10">
        <v>380</v>
      </c>
      <c r="AH55" s="10">
        <v>400</v>
      </c>
      <c r="AI55" s="10">
        <v>388</v>
      </c>
      <c r="AJ55" s="10">
        <v>3303.57</v>
      </c>
      <c r="AK55" s="10">
        <v>3333.33</v>
      </c>
      <c r="AL55" s="10">
        <v>2846.15</v>
      </c>
      <c r="AM55" s="10">
        <v>2500</v>
      </c>
      <c r="AN55" s="10">
        <v>3000</v>
      </c>
      <c r="AO55" s="10">
        <v>2000</v>
      </c>
      <c r="AP55" s="10">
        <v>2200</v>
      </c>
      <c r="AQ55" s="10">
        <v>2300</v>
      </c>
      <c r="AR55" s="10">
        <v>2500</v>
      </c>
    </row>
    <row r="56" spans="2:44" ht="18" thickBot="1">
      <c r="B56" s="10" t="s">
        <v>21</v>
      </c>
      <c r="C56" s="10">
        <v>150000</v>
      </c>
      <c r="D56" s="10">
        <v>125000</v>
      </c>
      <c r="E56" s="10">
        <v>120000</v>
      </c>
      <c r="F56" s="10">
        <v>160000</v>
      </c>
      <c r="G56" s="10">
        <v>145000</v>
      </c>
      <c r="H56" s="10">
        <v>160000</v>
      </c>
      <c r="I56" s="10">
        <v>130000</v>
      </c>
      <c r="J56" s="10">
        <v>150000</v>
      </c>
      <c r="K56" s="10">
        <v>125000</v>
      </c>
      <c r="L56" s="10">
        <v>56</v>
      </c>
      <c r="M56" s="10">
        <v>65</v>
      </c>
      <c r="N56" s="10">
        <v>50</v>
      </c>
      <c r="O56" s="10">
        <v>20</v>
      </c>
      <c r="P56" s="10">
        <v>25</v>
      </c>
      <c r="Q56" s="10">
        <v>35</v>
      </c>
      <c r="R56" s="10">
        <v>22</v>
      </c>
      <c r="S56" s="10">
        <v>17</v>
      </c>
      <c r="T56" s="10">
        <v>17</v>
      </c>
      <c r="U56" s="10">
        <v>25</v>
      </c>
      <c r="V56" s="10">
        <v>17</v>
      </c>
      <c r="W56" s="10">
        <v>21</v>
      </c>
      <c r="X56" s="10">
        <v>9000</v>
      </c>
      <c r="Y56" s="10">
        <v>6500</v>
      </c>
      <c r="Z56" s="10">
        <v>6500</v>
      </c>
      <c r="AA56" s="10">
        <v>409.09</v>
      </c>
      <c r="AB56" s="10">
        <v>382.35</v>
      </c>
      <c r="AC56" s="10">
        <v>382.35</v>
      </c>
      <c r="AD56" s="10">
        <v>350</v>
      </c>
      <c r="AE56" s="10">
        <v>450</v>
      </c>
      <c r="AF56" s="10">
        <v>350</v>
      </c>
      <c r="AG56" s="10">
        <v>365</v>
      </c>
      <c r="AH56" s="10">
        <v>350</v>
      </c>
      <c r="AI56" s="10">
        <v>352</v>
      </c>
      <c r="AJ56" s="10">
        <v>2678.57</v>
      </c>
      <c r="AK56" s="10">
        <v>1923.08</v>
      </c>
      <c r="AL56" s="10">
        <v>2400</v>
      </c>
      <c r="AM56" s="10">
        <v>2600</v>
      </c>
      <c r="AN56" s="10">
        <v>1800</v>
      </c>
      <c r="AO56" s="10">
        <v>2200</v>
      </c>
      <c r="AP56" s="10">
        <v>2200</v>
      </c>
      <c r="AQ56" s="10">
        <v>2300</v>
      </c>
      <c r="AR56" s="10">
        <v>2500</v>
      </c>
    </row>
    <row r="57" spans="2:44" ht="18" thickBot="1">
      <c r="B57" s="10" t="s">
        <v>22</v>
      </c>
      <c r="C57" s="10">
        <v>155000</v>
      </c>
      <c r="D57" s="10">
        <v>155000</v>
      </c>
      <c r="E57" s="10">
        <v>155000</v>
      </c>
      <c r="F57" s="10">
        <v>160000</v>
      </c>
      <c r="G57" s="10">
        <v>145000</v>
      </c>
      <c r="H57" s="10">
        <v>160000</v>
      </c>
      <c r="I57" s="10">
        <v>150000</v>
      </c>
      <c r="J57" s="10">
        <v>155000</v>
      </c>
      <c r="K57" s="10">
        <v>160000</v>
      </c>
      <c r="L57" s="10">
        <v>62</v>
      </c>
      <c r="M57" s="10">
        <v>52</v>
      </c>
      <c r="N57" s="10">
        <v>52</v>
      </c>
      <c r="O57" s="10">
        <v>20</v>
      </c>
      <c r="P57" s="10">
        <v>25</v>
      </c>
      <c r="Q57" s="10">
        <v>35</v>
      </c>
      <c r="R57" s="10">
        <v>21</v>
      </c>
      <c r="S57" s="10">
        <v>24</v>
      </c>
      <c r="T57" s="10">
        <v>22</v>
      </c>
      <c r="U57" s="10">
        <v>17</v>
      </c>
      <c r="V57" s="10">
        <v>16</v>
      </c>
      <c r="W57" s="10">
        <v>23</v>
      </c>
      <c r="X57" s="10">
        <v>6200</v>
      </c>
      <c r="Y57" s="10">
        <v>6300</v>
      </c>
      <c r="Z57" s="10">
        <v>9000</v>
      </c>
      <c r="AA57" s="10">
        <v>295.24</v>
      </c>
      <c r="AB57" s="10">
        <v>262.5</v>
      </c>
      <c r="AC57" s="10">
        <v>409.09</v>
      </c>
      <c r="AD57" s="10">
        <v>350</v>
      </c>
      <c r="AE57" s="10">
        <v>450</v>
      </c>
      <c r="AF57" s="10">
        <v>350</v>
      </c>
      <c r="AG57" s="10">
        <v>405</v>
      </c>
      <c r="AH57" s="10">
        <v>370</v>
      </c>
      <c r="AI57" s="10">
        <v>350</v>
      </c>
      <c r="AJ57" s="10">
        <v>2500</v>
      </c>
      <c r="AK57" s="10">
        <v>2980.77</v>
      </c>
      <c r="AL57" s="10">
        <v>2980.77</v>
      </c>
      <c r="AM57" s="10">
        <v>2400</v>
      </c>
      <c r="AN57" s="10">
        <v>2800</v>
      </c>
      <c r="AO57" s="10">
        <v>2890</v>
      </c>
      <c r="AP57" s="10">
        <v>2200</v>
      </c>
      <c r="AQ57" s="10">
        <v>2300</v>
      </c>
      <c r="AR57" s="10">
        <v>2500</v>
      </c>
    </row>
    <row r="58" spans="2:44" ht="18" thickBot="1">
      <c r="B58" s="10" t="s">
        <v>23</v>
      </c>
      <c r="C58" s="10">
        <v>140000</v>
      </c>
      <c r="D58" s="10">
        <v>170000</v>
      </c>
      <c r="E58" s="10">
        <v>155000</v>
      </c>
      <c r="F58" s="10">
        <v>160000</v>
      </c>
      <c r="G58" s="10">
        <v>145000</v>
      </c>
      <c r="H58" s="10">
        <v>160000</v>
      </c>
      <c r="I58" s="10">
        <v>150000</v>
      </c>
      <c r="J58" s="10">
        <v>180000</v>
      </c>
      <c r="K58" s="10">
        <v>140000</v>
      </c>
      <c r="L58" s="10">
        <v>65</v>
      </c>
      <c r="M58" s="10">
        <v>50</v>
      </c>
      <c r="N58" s="10">
        <v>70</v>
      </c>
      <c r="O58" s="10">
        <v>20</v>
      </c>
      <c r="P58" s="10">
        <v>25</v>
      </c>
      <c r="Q58" s="10">
        <v>35</v>
      </c>
      <c r="R58" s="10">
        <v>30</v>
      </c>
      <c r="S58" s="10">
        <v>16</v>
      </c>
      <c r="T58" s="10">
        <v>18</v>
      </c>
      <c r="U58" s="10">
        <v>25</v>
      </c>
      <c r="V58" s="10">
        <v>21</v>
      </c>
      <c r="W58" s="10">
        <v>20</v>
      </c>
      <c r="X58" s="10">
        <v>9800</v>
      </c>
      <c r="Y58" s="10">
        <v>8000</v>
      </c>
      <c r="Z58" s="10">
        <v>7500</v>
      </c>
      <c r="AA58" s="10">
        <v>326.67</v>
      </c>
      <c r="AB58" s="10">
        <v>500</v>
      </c>
      <c r="AC58" s="10">
        <v>416.67</v>
      </c>
      <c r="AD58" s="10">
        <v>350</v>
      </c>
      <c r="AE58" s="10">
        <v>450</v>
      </c>
      <c r="AF58" s="10">
        <v>350</v>
      </c>
      <c r="AG58" s="10">
        <v>385</v>
      </c>
      <c r="AH58" s="10">
        <v>350</v>
      </c>
      <c r="AI58" s="10">
        <v>410</v>
      </c>
      <c r="AJ58" s="10">
        <v>2153.85</v>
      </c>
      <c r="AK58" s="10">
        <v>3400</v>
      </c>
      <c r="AL58" s="10">
        <v>2214.29</v>
      </c>
      <c r="AM58" s="10">
        <v>1900</v>
      </c>
      <c r="AN58" s="10">
        <v>3000</v>
      </c>
      <c r="AO58" s="10">
        <v>2100</v>
      </c>
      <c r="AP58" s="10">
        <v>2200</v>
      </c>
      <c r="AQ58" s="10">
        <v>2300</v>
      </c>
      <c r="AR58" s="10">
        <v>2500</v>
      </c>
    </row>
    <row r="59" spans="2:44" ht="18" thickBot="1">
      <c r="B59" s="11" t="s">
        <v>24</v>
      </c>
      <c r="C59" s="11">
        <f t="shared" ref="C59:Z59" si="5">SUM(C54:C58)</f>
        <v>780000</v>
      </c>
      <c r="D59" s="11">
        <f t="shared" si="5"/>
        <v>745000</v>
      </c>
      <c r="E59" s="11">
        <f t="shared" si="5"/>
        <v>760000</v>
      </c>
      <c r="F59" s="11">
        <f t="shared" si="5"/>
        <v>800000</v>
      </c>
      <c r="G59" s="11">
        <f t="shared" si="5"/>
        <v>725000</v>
      </c>
      <c r="H59" s="11">
        <f t="shared" si="5"/>
        <v>800000</v>
      </c>
      <c r="I59" s="11">
        <f t="shared" si="5"/>
        <v>715000</v>
      </c>
      <c r="J59" s="11">
        <f t="shared" si="5"/>
        <v>740000</v>
      </c>
      <c r="K59" s="11">
        <f t="shared" si="5"/>
        <v>690000</v>
      </c>
      <c r="L59" s="11">
        <f t="shared" si="5"/>
        <v>294</v>
      </c>
      <c r="M59" s="11">
        <f t="shared" si="5"/>
        <v>267</v>
      </c>
      <c r="N59" s="11">
        <f t="shared" si="5"/>
        <v>297</v>
      </c>
      <c r="O59" s="11">
        <f t="shared" si="5"/>
        <v>100</v>
      </c>
      <c r="P59" s="11">
        <f t="shared" si="5"/>
        <v>125</v>
      </c>
      <c r="Q59" s="11">
        <f t="shared" si="5"/>
        <v>175</v>
      </c>
      <c r="R59" s="11">
        <f t="shared" si="5"/>
        <v>102</v>
      </c>
      <c r="S59" s="11">
        <f t="shared" si="5"/>
        <v>100</v>
      </c>
      <c r="T59" s="11">
        <f t="shared" si="5"/>
        <v>99</v>
      </c>
      <c r="U59" s="11">
        <f t="shared" si="5"/>
        <v>102</v>
      </c>
      <c r="V59" s="11">
        <f t="shared" si="5"/>
        <v>91</v>
      </c>
      <c r="W59" s="11">
        <f t="shared" si="5"/>
        <v>87</v>
      </c>
      <c r="X59" s="11">
        <f t="shared" si="5"/>
        <v>38500</v>
      </c>
      <c r="Y59" s="11">
        <f t="shared" si="5"/>
        <v>35300</v>
      </c>
      <c r="Z59" s="11">
        <f t="shared" si="5"/>
        <v>32000</v>
      </c>
      <c r="AA59" s="11">
        <f t="shared" ref="AA59:AR59" si="6">AVERAGE(AA54:AA58)</f>
        <v>393.82</v>
      </c>
      <c r="AB59" s="11">
        <f t="shared" si="6"/>
        <v>363.63599999999997</v>
      </c>
      <c r="AC59" s="11">
        <f t="shared" si="6"/>
        <v>328.68</v>
      </c>
      <c r="AD59" s="11">
        <f t="shared" si="6"/>
        <v>350</v>
      </c>
      <c r="AE59" s="11">
        <f t="shared" si="6"/>
        <v>450</v>
      </c>
      <c r="AF59" s="11">
        <f t="shared" si="6"/>
        <v>350</v>
      </c>
      <c r="AG59" s="11">
        <f t="shared" si="6"/>
        <v>387</v>
      </c>
      <c r="AH59" s="11">
        <f t="shared" si="6"/>
        <v>371</v>
      </c>
      <c r="AI59" s="11">
        <f t="shared" si="6"/>
        <v>378</v>
      </c>
      <c r="AJ59" s="11">
        <f t="shared" si="6"/>
        <v>2709.0160000000001</v>
      </c>
      <c r="AK59" s="11">
        <f t="shared" si="6"/>
        <v>2854.7080000000001</v>
      </c>
      <c r="AL59" s="11">
        <f t="shared" si="6"/>
        <v>2571.576</v>
      </c>
      <c r="AM59" s="11">
        <f t="shared" si="6"/>
        <v>2440</v>
      </c>
      <c r="AN59" s="11">
        <f t="shared" si="6"/>
        <v>2620</v>
      </c>
      <c r="AO59" s="11">
        <f t="shared" si="6"/>
        <v>2298</v>
      </c>
      <c r="AP59" s="11">
        <f t="shared" si="6"/>
        <v>2200</v>
      </c>
      <c r="AQ59" s="11">
        <f t="shared" si="6"/>
        <v>2300</v>
      </c>
      <c r="AR59" s="11">
        <f t="shared" si="6"/>
        <v>2500</v>
      </c>
    </row>
    <row r="60" spans="2:44" ht="14.4"/>
    <row r="61" spans="2:44" thickBot="1"/>
    <row r="62" spans="2:44" thickBot="1">
      <c r="B62" s="4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4"/>
    </row>
    <row r="63" spans="2:44" thickBot="1">
      <c r="B63" s="4"/>
      <c r="C63" s="36" t="s">
        <v>37</v>
      </c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8"/>
    </row>
    <row r="64" spans="2:44" thickBot="1">
      <c r="B64" s="4"/>
      <c r="C64" s="6" t="s">
        <v>2</v>
      </c>
      <c r="D64" s="6" t="s">
        <v>3</v>
      </c>
      <c r="E64" s="7" t="s">
        <v>4</v>
      </c>
      <c r="F64" s="6" t="s">
        <v>2</v>
      </c>
      <c r="G64" s="6" t="s">
        <v>3</v>
      </c>
      <c r="H64" s="7" t="s">
        <v>4</v>
      </c>
      <c r="I64" s="6" t="s">
        <v>2</v>
      </c>
      <c r="J64" s="6" t="s">
        <v>3</v>
      </c>
      <c r="K64" s="7" t="s">
        <v>4</v>
      </c>
      <c r="L64" s="6" t="s">
        <v>2</v>
      </c>
      <c r="M64" s="6" t="s">
        <v>3</v>
      </c>
      <c r="N64" s="7" t="s">
        <v>4</v>
      </c>
      <c r="O64" s="6" t="s">
        <v>2</v>
      </c>
      <c r="P64" s="6" t="s">
        <v>3</v>
      </c>
      <c r="Q64" s="7" t="s">
        <v>4</v>
      </c>
      <c r="R64" s="6" t="s">
        <v>2</v>
      </c>
      <c r="S64" s="6" t="s">
        <v>3</v>
      </c>
      <c r="T64" s="7" t="s">
        <v>4</v>
      </c>
      <c r="U64" s="6" t="s">
        <v>2</v>
      </c>
      <c r="V64" s="6" t="s">
        <v>3</v>
      </c>
      <c r="W64" s="7" t="s">
        <v>4</v>
      </c>
      <c r="X64" s="6" t="s">
        <v>2</v>
      </c>
      <c r="Y64" s="6" t="s">
        <v>3</v>
      </c>
      <c r="Z64" s="7" t="s">
        <v>4</v>
      </c>
      <c r="AA64" s="6" t="s">
        <v>2</v>
      </c>
      <c r="AB64" s="6" t="s">
        <v>3</v>
      </c>
      <c r="AC64" s="7" t="s">
        <v>4</v>
      </c>
      <c r="AD64" s="6" t="s">
        <v>2</v>
      </c>
      <c r="AE64" s="6" t="s">
        <v>3</v>
      </c>
      <c r="AF64" s="7" t="s">
        <v>4</v>
      </c>
      <c r="AG64" s="6" t="s">
        <v>2</v>
      </c>
      <c r="AH64" s="6" t="s">
        <v>3</v>
      </c>
      <c r="AI64" s="7" t="s">
        <v>4</v>
      </c>
      <c r="AJ64" s="6" t="s">
        <v>2</v>
      </c>
      <c r="AK64" s="6" t="s">
        <v>3</v>
      </c>
      <c r="AL64" s="7" t="s">
        <v>4</v>
      </c>
      <c r="AM64" s="6" t="s">
        <v>2</v>
      </c>
      <c r="AN64" s="6" t="s">
        <v>3</v>
      </c>
      <c r="AO64" s="7" t="s">
        <v>4</v>
      </c>
      <c r="AP64" s="6" t="s">
        <v>2</v>
      </c>
      <c r="AQ64" s="6" t="s">
        <v>3</v>
      </c>
      <c r="AR64" s="7" t="s">
        <v>4</v>
      </c>
    </row>
    <row r="65" spans="2:44" ht="42" thickBot="1">
      <c r="B65" s="4"/>
      <c r="C65" s="8" t="s">
        <v>5</v>
      </c>
      <c r="D65" s="8" t="s">
        <v>5</v>
      </c>
      <c r="E65" s="9" t="s">
        <v>5</v>
      </c>
      <c r="F65" s="8" t="s">
        <v>6</v>
      </c>
      <c r="G65" s="8" t="s">
        <v>6</v>
      </c>
      <c r="H65" s="9" t="s">
        <v>6</v>
      </c>
      <c r="I65" s="8" t="s">
        <v>7</v>
      </c>
      <c r="J65" s="8" t="s">
        <v>7</v>
      </c>
      <c r="K65" s="9" t="s">
        <v>7</v>
      </c>
      <c r="L65" s="8" t="s">
        <v>8</v>
      </c>
      <c r="M65" s="8" t="s">
        <v>8</v>
      </c>
      <c r="N65" s="9" t="s">
        <v>8</v>
      </c>
      <c r="O65" s="8" t="s">
        <v>9</v>
      </c>
      <c r="P65" s="8" t="s">
        <v>9</v>
      </c>
      <c r="Q65" s="9" t="s">
        <v>9</v>
      </c>
      <c r="R65" s="8" t="s">
        <v>10</v>
      </c>
      <c r="S65" s="8" t="s">
        <v>10</v>
      </c>
      <c r="T65" s="9" t="s">
        <v>10</v>
      </c>
      <c r="U65" s="8" t="s">
        <v>11</v>
      </c>
      <c r="V65" s="8" t="s">
        <v>11</v>
      </c>
      <c r="W65" s="9" t="s">
        <v>11</v>
      </c>
      <c r="X65" s="8" t="s">
        <v>12</v>
      </c>
      <c r="Y65" s="8" t="s">
        <v>12</v>
      </c>
      <c r="Z65" s="9" t="s">
        <v>12</v>
      </c>
      <c r="AA65" s="8" t="s">
        <v>13</v>
      </c>
      <c r="AB65" s="8" t="s">
        <v>13</v>
      </c>
      <c r="AC65" s="9" t="s">
        <v>13</v>
      </c>
      <c r="AD65" s="8" t="s">
        <v>14</v>
      </c>
      <c r="AE65" s="8" t="s">
        <v>14</v>
      </c>
      <c r="AF65" s="9" t="s">
        <v>14</v>
      </c>
      <c r="AG65" s="8" t="s">
        <v>15</v>
      </c>
      <c r="AH65" s="8" t="s">
        <v>15</v>
      </c>
      <c r="AI65" s="9" t="s">
        <v>15</v>
      </c>
      <c r="AJ65" s="8" t="s">
        <v>16</v>
      </c>
      <c r="AK65" s="8" t="s">
        <v>16</v>
      </c>
      <c r="AL65" s="9" t="s">
        <v>16</v>
      </c>
      <c r="AM65" s="8" t="s">
        <v>17</v>
      </c>
      <c r="AN65" s="8" t="s">
        <v>17</v>
      </c>
      <c r="AO65" s="9" t="s">
        <v>17</v>
      </c>
      <c r="AP65" s="8" t="s">
        <v>18</v>
      </c>
      <c r="AQ65" s="8" t="s">
        <v>18</v>
      </c>
      <c r="AR65" s="9" t="s">
        <v>18</v>
      </c>
    </row>
    <row r="66" spans="2:44" ht="18" thickBot="1">
      <c r="B66" s="10" t="s">
        <v>19</v>
      </c>
      <c r="C66" s="10">
        <v>145000</v>
      </c>
      <c r="D66" s="10">
        <v>150000</v>
      </c>
      <c r="E66" s="10">
        <v>150000</v>
      </c>
      <c r="F66" s="10">
        <v>165000</v>
      </c>
      <c r="G66" s="10">
        <v>155000</v>
      </c>
      <c r="H66" s="10">
        <v>145000</v>
      </c>
      <c r="I66" s="10">
        <v>155000</v>
      </c>
      <c r="J66" s="10">
        <v>125000</v>
      </c>
      <c r="K66" s="10">
        <v>145000</v>
      </c>
      <c r="L66" s="10">
        <v>75</v>
      </c>
      <c r="M66" s="10">
        <v>76</v>
      </c>
      <c r="N66" s="10">
        <v>80</v>
      </c>
      <c r="O66" s="10">
        <v>20</v>
      </c>
      <c r="P66" s="10">
        <v>20</v>
      </c>
      <c r="Q66" s="10">
        <v>20</v>
      </c>
      <c r="R66" s="10">
        <v>15</v>
      </c>
      <c r="S66" s="10">
        <v>22</v>
      </c>
      <c r="T66" s="10">
        <v>25</v>
      </c>
      <c r="U66" s="10">
        <v>21</v>
      </c>
      <c r="V66" s="10">
        <v>17</v>
      </c>
      <c r="W66" s="10">
        <v>16</v>
      </c>
      <c r="X66" s="10">
        <v>4700</v>
      </c>
      <c r="Y66" s="10">
        <v>7000</v>
      </c>
      <c r="Z66" s="10">
        <v>6000</v>
      </c>
      <c r="AA66" s="10">
        <v>313.33</v>
      </c>
      <c r="AB66" s="10">
        <v>318.18</v>
      </c>
      <c r="AC66" s="10">
        <v>240</v>
      </c>
      <c r="AD66" s="10">
        <v>350</v>
      </c>
      <c r="AE66" s="10">
        <v>350</v>
      </c>
      <c r="AF66" s="10">
        <v>300</v>
      </c>
      <c r="AG66" s="10">
        <v>410</v>
      </c>
      <c r="AH66" s="10">
        <v>385</v>
      </c>
      <c r="AI66" s="10">
        <v>390</v>
      </c>
      <c r="AJ66" s="10">
        <v>1866.67</v>
      </c>
      <c r="AK66" s="10">
        <v>1973.68</v>
      </c>
      <c r="AL66" s="10">
        <v>1875</v>
      </c>
      <c r="AM66" s="10">
        <v>2500</v>
      </c>
      <c r="AN66" s="10">
        <v>2700</v>
      </c>
      <c r="AO66" s="10">
        <v>2400</v>
      </c>
      <c r="AP66" s="10">
        <v>2450</v>
      </c>
      <c r="AQ66" s="10">
        <v>2700</v>
      </c>
      <c r="AR66" s="10">
        <v>2350</v>
      </c>
    </row>
    <row r="67" spans="2:44" ht="18" thickBot="1">
      <c r="B67" s="10" t="s">
        <v>20</v>
      </c>
      <c r="C67" s="10">
        <v>115000</v>
      </c>
      <c r="D67" s="10">
        <v>140000</v>
      </c>
      <c r="E67" s="10">
        <v>170000</v>
      </c>
      <c r="F67" s="10">
        <v>165000</v>
      </c>
      <c r="G67" s="10">
        <v>155000</v>
      </c>
      <c r="H67" s="10">
        <v>145000</v>
      </c>
      <c r="I67" s="10">
        <v>140000</v>
      </c>
      <c r="J67" s="10">
        <v>125000</v>
      </c>
      <c r="K67" s="10">
        <v>130000</v>
      </c>
      <c r="L67" s="10">
        <v>65</v>
      </c>
      <c r="M67" s="10">
        <v>85</v>
      </c>
      <c r="N67" s="10">
        <v>70</v>
      </c>
      <c r="O67" s="10">
        <v>20</v>
      </c>
      <c r="P67" s="10">
        <v>20</v>
      </c>
      <c r="Q67" s="10">
        <v>20</v>
      </c>
      <c r="R67" s="10">
        <v>25</v>
      </c>
      <c r="S67" s="10">
        <v>18</v>
      </c>
      <c r="T67" s="10">
        <v>24</v>
      </c>
      <c r="U67" s="10">
        <v>16</v>
      </c>
      <c r="V67" s="10">
        <v>14</v>
      </c>
      <c r="W67" s="10">
        <v>21</v>
      </c>
      <c r="X67" s="10">
        <v>6000</v>
      </c>
      <c r="Y67" s="10">
        <v>5000</v>
      </c>
      <c r="Z67" s="10">
        <v>8500</v>
      </c>
      <c r="AA67" s="10">
        <v>240</v>
      </c>
      <c r="AB67" s="10">
        <v>277.77999999999997</v>
      </c>
      <c r="AC67" s="10">
        <v>354.17</v>
      </c>
      <c r="AD67" s="10">
        <v>350</v>
      </c>
      <c r="AE67" s="10">
        <v>350</v>
      </c>
      <c r="AF67" s="10">
        <v>300</v>
      </c>
      <c r="AG67" s="10">
        <v>408</v>
      </c>
      <c r="AH67" s="10">
        <v>350</v>
      </c>
      <c r="AI67" s="10">
        <v>370</v>
      </c>
      <c r="AJ67" s="10">
        <v>1769.23</v>
      </c>
      <c r="AK67" s="10">
        <v>1647.06</v>
      </c>
      <c r="AL67" s="10">
        <v>2428.5700000000002</v>
      </c>
      <c r="AM67" s="10">
        <v>1800</v>
      </c>
      <c r="AN67" s="10">
        <v>2200</v>
      </c>
      <c r="AO67" s="10">
        <v>2300</v>
      </c>
      <c r="AP67" s="10">
        <v>2450</v>
      </c>
      <c r="AQ67" s="10">
        <v>2700</v>
      </c>
      <c r="AR67" s="10">
        <v>2350</v>
      </c>
    </row>
    <row r="68" spans="2:44" ht="18" thickBot="1">
      <c r="B68" s="10" t="s">
        <v>21</v>
      </c>
      <c r="C68" s="10">
        <v>165000</v>
      </c>
      <c r="D68" s="10">
        <v>140000</v>
      </c>
      <c r="E68" s="10">
        <v>145000</v>
      </c>
      <c r="F68" s="10">
        <v>165000</v>
      </c>
      <c r="G68" s="10">
        <v>155000</v>
      </c>
      <c r="H68" s="10">
        <v>145000</v>
      </c>
      <c r="I68" s="10">
        <v>165000</v>
      </c>
      <c r="J68" s="10">
        <v>150000</v>
      </c>
      <c r="K68" s="10">
        <v>155000</v>
      </c>
      <c r="L68" s="10">
        <v>65</v>
      </c>
      <c r="M68" s="10">
        <v>72</v>
      </c>
      <c r="N68" s="10">
        <v>78</v>
      </c>
      <c r="O68" s="10">
        <v>20</v>
      </c>
      <c r="P68" s="10">
        <v>20</v>
      </c>
      <c r="Q68" s="10">
        <v>20</v>
      </c>
      <c r="R68" s="10">
        <v>25</v>
      </c>
      <c r="S68" s="10">
        <v>17</v>
      </c>
      <c r="T68" s="10">
        <v>14</v>
      </c>
      <c r="U68" s="10">
        <v>15</v>
      </c>
      <c r="V68" s="10">
        <v>21</v>
      </c>
      <c r="W68" s="10">
        <v>20</v>
      </c>
      <c r="X68" s="10">
        <v>4000</v>
      </c>
      <c r="Y68" s="10">
        <v>8000</v>
      </c>
      <c r="Z68" s="10">
        <v>8000</v>
      </c>
      <c r="AA68" s="10">
        <v>160</v>
      </c>
      <c r="AB68" s="10">
        <v>470.59</v>
      </c>
      <c r="AC68" s="10">
        <v>571.42999999999995</v>
      </c>
      <c r="AD68" s="10">
        <v>350</v>
      </c>
      <c r="AE68" s="10">
        <v>350</v>
      </c>
      <c r="AF68" s="10">
        <v>300</v>
      </c>
      <c r="AG68" s="10">
        <v>345</v>
      </c>
      <c r="AH68" s="10">
        <v>405</v>
      </c>
      <c r="AI68" s="10">
        <v>352</v>
      </c>
      <c r="AJ68" s="10">
        <v>2538.46</v>
      </c>
      <c r="AK68" s="10">
        <v>1944.44</v>
      </c>
      <c r="AL68" s="10">
        <v>1858.97</v>
      </c>
      <c r="AM68" s="10">
        <v>2500</v>
      </c>
      <c r="AN68" s="10">
        <v>2500</v>
      </c>
      <c r="AO68" s="10">
        <v>2600</v>
      </c>
      <c r="AP68" s="10">
        <v>2450</v>
      </c>
      <c r="AQ68" s="10">
        <v>2700</v>
      </c>
      <c r="AR68" s="10">
        <v>2350</v>
      </c>
    </row>
    <row r="69" spans="2:44" ht="18" thickBot="1">
      <c r="B69" s="10" t="s">
        <v>22</v>
      </c>
      <c r="C69" s="10">
        <v>125000</v>
      </c>
      <c r="D69" s="10">
        <v>155000</v>
      </c>
      <c r="E69" s="10">
        <v>155000</v>
      </c>
      <c r="F69" s="10">
        <v>165000</v>
      </c>
      <c r="G69" s="10">
        <v>155000</v>
      </c>
      <c r="H69" s="10">
        <v>145000</v>
      </c>
      <c r="I69" s="10">
        <v>150000</v>
      </c>
      <c r="J69" s="10">
        <v>145000</v>
      </c>
      <c r="K69" s="10">
        <v>125000</v>
      </c>
      <c r="L69" s="10">
        <v>65</v>
      </c>
      <c r="M69" s="10">
        <v>70</v>
      </c>
      <c r="N69" s="10">
        <v>85</v>
      </c>
      <c r="O69" s="10">
        <v>20</v>
      </c>
      <c r="P69" s="10">
        <v>20</v>
      </c>
      <c r="Q69" s="10">
        <v>20</v>
      </c>
      <c r="R69" s="10">
        <v>19</v>
      </c>
      <c r="S69" s="10">
        <v>15</v>
      </c>
      <c r="T69" s="10">
        <v>21</v>
      </c>
      <c r="U69" s="10">
        <v>22</v>
      </c>
      <c r="V69" s="10">
        <v>20</v>
      </c>
      <c r="W69" s="10">
        <v>17</v>
      </c>
      <c r="X69" s="10">
        <v>9000</v>
      </c>
      <c r="Y69" s="10">
        <v>8500</v>
      </c>
      <c r="Z69" s="10">
        <v>7000</v>
      </c>
      <c r="AA69" s="10">
        <v>473.68</v>
      </c>
      <c r="AB69" s="10">
        <v>566.66999999999996</v>
      </c>
      <c r="AC69" s="10">
        <v>333.33</v>
      </c>
      <c r="AD69" s="10">
        <v>350</v>
      </c>
      <c r="AE69" s="10">
        <v>350</v>
      </c>
      <c r="AF69" s="10">
        <v>300</v>
      </c>
      <c r="AG69" s="10">
        <v>350</v>
      </c>
      <c r="AH69" s="10">
        <v>400</v>
      </c>
      <c r="AI69" s="10">
        <v>388</v>
      </c>
      <c r="AJ69" s="10">
        <v>1923.08</v>
      </c>
      <c r="AK69" s="10">
        <v>2214.29</v>
      </c>
      <c r="AL69" s="10">
        <v>1823.53</v>
      </c>
      <c r="AM69" s="10">
        <v>2100</v>
      </c>
      <c r="AN69" s="10">
        <v>2400</v>
      </c>
      <c r="AO69" s="10">
        <v>2400</v>
      </c>
      <c r="AP69" s="10">
        <v>2450</v>
      </c>
      <c r="AQ69" s="10">
        <v>2700</v>
      </c>
      <c r="AR69" s="10">
        <v>2350</v>
      </c>
    </row>
    <row r="70" spans="2:44" ht="18" thickBot="1">
      <c r="B70" s="10" t="s">
        <v>23</v>
      </c>
      <c r="C70" s="10">
        <v>150000</v>
      </c>
      <c r="D70" s="10">
        <v>130000</v>
      </c>
      <c r="E70" s="10">
        <v>150000</v>
      </c>
      <c r="F70" s="10">
        <v>165000</v>
      </c>
      <c r="G70" s="10">
        <v>155000</v>
      </c>
      <c r="H70" s="10">
        <v>145000</v>
      </c>
      <c r="I70" s="10">
        <v>170000</v>
      </c>
      <c r="J70" s="10">
        <v>155000</v>
      </c>
      <c r="K70" s="10">
        <v>130000</v>
      </c>
      <c r="L70" s="10">
        <v>75</v>
      </c>
      <c r="M70" s="10">
        <v>63</v>
      </c>
      <c r="N70" s="10">
        <v>80</v>
      </c>
      <c r="O70" s="10">
        <v>20</v>
      </c>
      <c r="P70" s="10">
        <v>20</v>
      </c>
      <c r="Q70" s="10">
        <v>20</v>
      </c>
      <c r="R70" s="10">
        <v>24</v>
      </c>
      <c r="S70" s="10">
        <v>15</v>
      </c>
      <c r="T70" s="10">
        <v>30</v>
      </c>
      <c r="U70" s="10">
        <v>23</v>
      </c>
      <c r="V70" s="10">
        <v>24</v>
      </c>
      <c r="W70" s="10">
        <v>20</v>
      </c>
      <c r="X70" s="10">
        <v>9500</v>
      </c>
      <c r="Y70" s="10">
        <v>9000</v>
      </c>
      <c r="Z70" s="10">
        <v>8000</v>
      </c>
      <c r="AA70" s="10">
        <v>395.83</v>
      </c>
      <c r="AB70" s="10">
        <v>600</v>
      </c>
      <c r="AC70" s="10">
        <v>266.67</v>
      </c>
      <c r="AD70" s="10">
        <v>350</v>
      </c>
      <c r="AE70" s="10">
        <v>350</v>
      </c>
      <c r="AF70" s="10">
        <v>300</v>
      </c>
      <c r="AG70" s="10">
        <v>360</v>
      </c>
      <c r="AH70" s="10">
        <v>350</v>
      </c>
      <c r="AI70" s="10">
        <v>425</v>
      </c>
      <c r="AJ70" s="10">
        <v>2000</v>
      </c>
      <c r="AK70" s="10">
        <v>2063.4899999999998</v>
      </c>
      <c r="AL70" s="10">
        <v>1875</v>
      </c>
      <c r="AM70" s="10">
        <v>2100</v>
      </c>
      <c r="AN70" s="10">
        <v>2800</v>
      </c>
      <c r="AO70" s="10">
        <v>3000</v>
      </c>
      <c r="AP70" s="10">
        <v>2450</v>
      </c>
      <c r="AQ70" s="10">
        <v>2700</v>
      </c>
      <c r="AR70" s="10">
        <v>2350</v>
      </c>
    </row>
    <row r="71" spans="2:44" ht="18" thickBot="1">
      <c r="B71" s="11" t="s">
        <v>24</v>
      </c>
      <c r="C71" s="11">
        <f t="shared" ref="C71:Z71" si="7">SUM(C66:C70)</f>
        <v>700000</v>
      </c>
      <c r="D71" s="11">
        <f t="shared" si="7"/>
        <v>715000</v>
      </c>
      <c r="E71" s="11">
        <f t="shared" si="7"/>
        <v>770000</v>
      </c>
      <c r="F71" s="11">
        <f t="shared" si="7"/>
        <v>825000</v>
      </c>
      <c r="G71" s="11">
        <f t="shared" si="7"/>
        <v>775000</v>
      </c>
      <c r="H71" s="11">
        <f t="shared" si="7"/>
        <v>725000</v>
      </c>
      <c r="I71" s="11">
        <f t="shared" si="7"/>
        <v>780000</v>
      </c>
      <c r="J71" s="11">
        <f t="shared" si="7"/>
        <v>700000</v>
      </c>
      <c r="K71" s="11">
        <f t="shared" si="7"/>
        <v>685000</v>
      </c>
      <c r="L71" s="11">
        <f t="shared" si="7"/>
        <v>345</v>
      </c>
      <c r="M71" s="11">
        <f t="shared" si="7"/>
        <v>366</v>
      </c>
      <c r="N71" s="11">
        <f t="shared" si="7"/>
        <v>393</v>
      </c>
      <c r="O71" s="11">
        <f t="shared" si="7"/>
        <v>100</v>
      </c>
      <c r="P71" s="11">
        <f t="shared" si="7"/>
        <v>100</v>
      </c>
      <c r="Q71" s="11">
        <f t="shared" si="7"/>
        <v>100</v>
      </c>
      <c r="R71" s="11">
        <f t="shared" si="7"/>
        <v>108</v>
      </c>
      <c r="S71" s="11">
        <f t="shared" si="7"/>
        <v>87</v>
      </c>
      <c r="T71" s="11">
        <f t="shared" si="7"/>
        <v>114</v>
      </c>
      <c r="U71" s="11">
        <f t="shared" si="7"/>
        <v>97</v>
      </c>
      <c r="V71" s="11">
        <f t="shared" si="7"/>
        <v>96</v>
      </c>
      <c r="W71" s="11">
        <f t="shared" si="7"/>
        <v>94</v>
      </c>
      <c r="X71" s="11">
        <f t="shared" si="7"/>
        <v>33200</v>
      </c>
      <c r="Y71" s="11">
        <f t="shared" si="7"/>
        <v>37500</v>
      </c>
      <c r="Z71" s="11">
        <f t="shared" si="7"/>
        <v>37500</v>
      </c>
      <c r="AA71" s="11">
        <f t="shared" ref="AA71:AR71" si="8">AVERAGE(AA66:AA70)</f>
        <v>316.56799999999998</v>
      </c>
      <c r="AB71" s="11">
        <f t="shared" si="8"/>
        <v>446.64399999999995</v>
      </c>
      <c r="AC71" s="11">
        <f t="shared" si="8"/>
        <v>353.12</v>
      </c>
      <c r="AD71" s="11">
        <f t="shared" si="8"/>
        <v>350</v>
      </c>
      <c r="AE71" s="11">
        <f t="shared" si="8"/>
        <v>350</v>
      </c>
      <c r="AF71" s="11">
        <f t="shared" si="8"/>
        <v>300</v>
      </c>
      <c r="AG71" s="11">
        <f t="shared" si="8"/>
        <v>374.6</v>
      </c>
      <c r="AH71" s="11">
        <f t="shared" si="8"/>
        <v>378</v>
      </c>
      <c r="AI71" s="11">
        <f t="shared" si="8"/>
        <v>385</v>
      </c>
      <c r="AJ71" s="11">
        <f t="shared" si="8"/>
        <v>2019.4880000000001</v>
      </c>
      <c r="AK71" s="11">
        <f t="shared" si="8"/>
        <v>1968.5919999999999</v>
      </c>
      <c r="AL71" s="11">
        <f t="shared" si="8"/>
        <v>1972.2139999999999</v>
      </c>
      <c r="AM71" s="11">
        <f t="shared" si="8"/>
        <v>2200</v>
      </c>
      <c r="AN71" s="11">
        <f t="shared" si="8"/>
        <v>2520</v>
      </c>
      <c r="AO71" s="11">
        <f t="shared" si="8"/>
        <v>2540</v>
      </c>
      <c r="AP71" s="11">
        <f t="shared" si="8"/>
        <v>2450</v>
      </c>
      <c r="AQ71" s="11">
        <f t="shared" si="8"/>
        <v>2700</v>
      </c>
      <c r="AR71" s="11">
        <f t="shared" si="8"/>
        <v>2350</v>
      </c>
    </row>
    <row r="72" spans="2:44" ht="14.4"/>
    <row r="73" spans="2:44" ht="14.4"/>
    <row r="74" spans="2:44" ht="14.4"/>
    <row r="75" spans="2:44" ht="14.4"/>
    <row r="76" spans="2:44" ht="14.4"/>
    <row r="77" spans="2:44" ht="14.4"/>
    <row r="78" spans="2:44" ht="14.4"/>
    <row r="79" spans="2:44" ht="14.4"/>
    <row r="80" spans="2:44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customFormat="1" ht="14.4"/>
    <row r="274" customFormat="1" ht="14.4"/>
    <row r="275" customFormat="1" ht="14.4"/>
    <row r="276" customFormat="1" ht="14.4"/>
    <row r="277" customFormat="1" ht="14.4"/>
    <row r="278" customFormat="1" ht="14.4"/>
    <row r="279" customFormat="1" ht="14.4"/>
    <row r="280" customFormat="1" ht="14.4"/>
    <row r="281" customFormat="1" ht="14.4"/>
    <row r="282" customFormat="1" ht="14.4"/>
    <row r="283" customFormat="1" ht="14.4"/>
    <row r="284" customFormat="1" ht="14.4"/>
    <row r="285" customFormat="1" ht="14.4"/>
    <row r="286" customFormat="1" ht="14.4"/>
    <row r="287" customFormat="1" ht="14.4"/>
    <row r="288" customFormat="1" ht="14.4"/>
    <row r="289" customFormat="1" ht="14.4"/>
    <row r="290" customFormat="1" ht="14.4"/>
    <row r="291" customFormat="1" ht="14.4"/>
    <row r="292" customFormat="1" ht="14.4"/>
    <row r="293" customFormat="1" ht="14.4"/>
    <row r="294" customFormat="1" ht="14.4"/>
    <row r="295" customFormat="1" ht="14.4"/>
    <row r="296" customFormat="1" ht="14.4"/>
    <row r="297" customFormat="1" ht="14.4"/>
    <row r="298" customFormat="1" ht="14.4"/>
    <row r="299" customFormat="1" ht="14.4"/>
    <row r="300" customFormat="1" ht="14.4"/>
    <row r="301" customFormat="1" ht="14.4"/>
    <row r="302" customFormat="1" ht="14.4"/>
    <row r="303" customFormat="1" ht="14.4"/>
    <row r="304" customFormat="1" ht="14.4"/>
    <row r="305" customFormat="1" ht="14.4"/>
    <row r="306" customFormat="1" ht="14.4"/>
    <row r="307" customFormat="1" ht="14.4"/>
    <row r="308" customFormat="1" ht="14.4"/>
    <row r="309" customFormat="1" ht="14.4"/>
    <row r="310" customFormat="1" ht="14.4"/>
    <row r="311" customFormat="1" ht="14.4"/>
    <row r="312" customFormat="1" ht="14.4"/>
    <row r="313" customFormat="1" ht="14.4"/>
    <row r="314" customFormat="1" ht="14.4"/>
    <row r="315" customFormat="1" ht="14.4"/>
    <row r="316" customFormat="1" ht="14.4"/>
    <row r="317" customFormat="1" ht="14.4"/>
    <row r="318" customFormat="1" ht="14.4"/>
    <row r="319" customFormat="1" ht="14.4"/>
    <row r="320" customFormat="1" ht="14.4"/>
    <row r="321" customFormat="1" ht="14.4"/>
    <row r="322" customFormat="1" ht="14.4"/>
    <row r="323" customFormat="1" ht="14.4"/>
    <row r="324" customFormat="1" ht="14.4"/>
    <row r="325" customFormat="1" ht="14.4"/>
    <row r="326" customFormat="1" ht="14.4"/>
    <row r="327" customFormat="1" ht="14.4"/>
    <row r="328" customFormat="1" ht="14.4"/>
    <row r="329" customFormat="1" ht="14.4"/>
    <row r="330" customFormat="1" ht="14.4"/>
    <row r="331" customFormat="1" ht="14.4"/>
    <row r="332" customFormat="1" ht="14.4"/>
    <row r="333" customFormat="1" ht="14.4"/>
    <row r="334" customFormat="1" ht="14.4"/>
    <row r="335" customFormat="1" ht="14.4"/>
    <row r="336" customFormat="1" ht="14.4"/>
    <row r="337" customFormat="1" ht="14.4"/>
    <row r="338" customFormat="1" ht="14.4"/>
    <row r="339" customFormat="1" ht="14.4"/>
    <row r="340" customFormat="1" ht="14.4"/>
    <row r="341" customFormat="1" ht="14.4"/>
    <row r="342" customFormat="1" ht="14.4"/>
    <row r="343" customFormat="1" ht="14.4"/>
    <row r="344" customFormat="1" ht="14.4"/>
    <row r="345" customFormat="1" ht="14.4"/>
    <row r="346" customFormat="1" ht="14.4"/>
    <row r="347" customFormat="1" ht="14.4"/>
    <row r="348" customFormat="1" ht="14.4"/>
    <row r="349" customFormat="1" ht="14.4"/>
    <row r="350" customFormat="1" ht="14.4"/>
    <row r="351" customFormat="1" ht="14.4"/>
    <row r="352" customFormat="1" ht="14.4"/>
    <row r="353" customFormat="1" ht="14.4"/>
    <row r="354" customFormat="1" ht="14.4"/>
    <row r="355" customFormat="1" ht="14.4"/>
    <row r="356" customFormat="1" ht="14.4"/>
    <row r="357" customFormat="1" ht="14.4"/>
    <row r="358" customFormat="1" ht="14.4"/>
    <row r="359" customFormat="1" ht="14.4"/>
    <row r="360" customFormat="1" ht="14.4"/>
    <row r="361" customFormat="1" ht="14.4"/>
    <row r="362" customFormat="1" ht="14.4"/>
    <row r="363" customFormat="1" ht="14.4"/>
    <row r="364" customFormat="1" ht="14.4"/>
    <row r="365" customFormat="1" ht="14.4"/>
    <row r="366" customFormat="1" ht="14.4"/>
    <row r="367" customFormat="1" ht="14.4"/>
    <row r="368" customFormat="1" ht="14.4"/>
    <row r="369" customFormat="1" ht="14.4"/>
    <row r="370" customFormat="1" ht="14.4"/>
    <row r="371" customFormat="1" ht="14.4"/>
    <row r="372" customFormat="1" ht="14.4"/>
    <row r="373" customFormat="1" ht="14.4"/>
    <row r="374" customFormat="1" ht="14.4"/>
    <row r="375" customFormat="1" ht="14.4"/>
    <row r="376" customFormat="1" ht="14.4"/>
    <row r="377" customFormat="1" ht="14.4"/>
    <row r="378" customFormat="1" ht="14.4"/>
    <row r="379" customFormat="1" ht="14.4"/>
    <row r="380" customFormat="1" ht="14.4"/>
    <row r="381" customFormat="1" ht="14.4"/>
    <row r="382" customFormat="1" ht="14.4"/>
    <row r="383" customFormat="1" ht="14.4"/>
    <row r="384" customFormat="1" ht="14.4"/>
    <row r="385" customFormat="1" ht="14.4"/>
    <row r="386" customFormat="1" ht="14.4"/>
    <row r="387" customFormat="1" ht="14.4"/>
    <row r="388" customFormat="1" ht="14.4"/>
    <row r="389" customFormat="1" ht="14.4"/>
    <row r="390" customFormat="1" ht="14.4"/>
    <row r="391" customFormat="1" ht="14.4"/>
    <row r="392" customFormat="1" ht="14.4"/>
    <row r="393" customFormat="1" ht="14.4"/>
    <row r="394" customFormat="1" ht="14.4"/>
    <row r="395" customFormat="1" ht="14.4"/>
    <row r="396" customFormat="1" ht="14.4"/>
    <row r="397" customFormat="1" ht="14.4"/>
    <row r="398" customFormat="1" ht="14.4"/>
    <row r="399" customFormat="1" ht="14.4"/>
    <row r="400" customFormat="1" ht="14.4"/>
    <row r="401" customFormat="1" ht="14.4"/>
    <row r="402" customFormat="1" ht="14.4"/>
    <row r="403" customFormat="1" ht="14.4"/>
    <row r="404" customFormat="1" ht="14.4"/>
    <row r="405" customFormat="1" ht="14.4"/>
    <row r="406" customFormat="1" ht="14.4"/>
    <row r="407" customFormat="1" ht="14.4"/>
    <row r="408" customFormat="1" ht="14.4"/>
    <row r="409" customFormat="1" ht="14.4"/>
    <row r="410" customFormat="1" ht="14.4"/>
    <row r="411" customFormat="1" ht="14.4"/>
    <row r="412" customFormat="1" ht="14.4"/>
    <row r="413" customFormat="1" ht="14.4"/>
    <row r="414" customFormat="1" ht="14.4"/>
    <row r="415" customFormat="1" ht="14.4"/>
    <row r="416" customFormat="1" ht="14.4"/>
    <row r="417" customFormat="1" ht="14.4"/>
    <row r="418" customFormat="1" ht="14.4"/>
    <row r="419" customFormat="1" ht="14.4"/>
    <row r="420" customFormat="1" ht="14.4"/>
    <row r="421" customFormat="1" ht="14.4"/>
    <row r="422" customFormat="1" ht="14.4"/>
    <row r="423" customFormat="1" ht="14.4"/>
    <row r="424" customFormat="1" ht="14.4"/>
    <row r="425" customFormat="1" ht="14.4"/>
    <row r="426" customFormat="1" ht="14.4"/>
    <row r="427" customFormat="1" ht="14.4"/>
    <row r="428" customFormat="1" ht="14.4"/>
    <row r="429" customFormat="1" ht="14.4"/>
    <row r="430" customFormat="1" ht="14.4"/>
    <row r="431" customFormat="1" ht="14.4"/>
    <row r="432" customFormat="1" ht="14.4"/>
    <row r="433" customFormat="1" ht="14.4"/>
    <row r="434" customFormat="1" ht="14.4"/>
    <row r="435" customFormat="1" ht="14.4"/>
    <row r="436" customFormat="1" ht="14.4"/>
    <row r="437" customFormat="1" ht="14.4"/>
    <row r="438" customFormat="1" ht="14.4"/>
    <row r="439" customFormat="1" ht="14.4"/>
    <row r="440" customFormat="1" ht="14.4"/>
    <row r="441" customFormat="1" ht="14.4"/>
    <row r="442" customFormat="1" ht="14.4"/>
    <row r="443" customFormat="1" ht="14.4"/>
    <row r="444" customFormat="1" ht="14.4"/>
    <row r="445" customFormat="1" ht="14.4"/>
    <row r="446" customFormat="1" ht="14.4"/>
    <row r="447" customFormat="1" ht="14.4"/>
    <row r="448" customFormat="1" ht="14.4"/>
    <row r="449" customFormat="1" ht="14.4"/>
    <row r="450" customFormat="1" ht="14.4"/>
    <row r="451" customFormat="1" ht="14.4"/>
    <row r="452" customFormat="1" ht="14.4"/>
    <row r="453" customFormat="1" ht="14.4"/>
    <row r="454" customFormat="1" ht="14.4"/>
    <row r="455" customFormat="1" ht="14.4"/>
    <row r="456" customFormat="1" ht="14.4"/>
    <row r="457" customFormat="1" ht="14.4"/>
    <row r="458" customFormat="1" ht="14.4"/>
    <row r="459" customFormat="1" ht="14.4"/>
    <row r="460" customFormat="1" ht="14.4"/>
    <row r="461" customFormat="1" ht="14.4"/>
    <row r="462" customFormat="1" ht="14.4"/>
    <row r="463" customFormat="1" ht="14.4"/>
    <row r="464" customFormat="1" ht="14.4"/>
    <row r="465" customFormat="1" ht="14.4"/>
    <row r="466" customFormat="1" ht="14.4"/>
    <row r="467" customFormat="1" ht="14.4"/>
    <row r="468" customFormat="1" ht="14.4"/>
    <row r="469" customFormat="1" ht="14.4"/>
    <row r="470" customFormat="1" ht="14.4"/>
    <row r="471" customFormat="1" ht="14.4"/>
    <row r="472" customFormat="1" ht="14.4"/>
    <row r="473" customFormat="1" ht="14.4"/>
    <row r="474" customFormat="1" ht="14.4"/>
    <row r="475" customFormat="1" ht="14.4"/>
    <row r="476" customFormat="1" ht="14.4"/>
    <row r="477" customFormat="1" ht="14.4"/>
    <row r="478" customFormat="1" ht="14.4"/>
    <row r="479" customFormat="1" ht="14.4"/>
    <row r="480" customFormat="1" ht="14.4"/>
    <row r="481" customFormat="1" ht="14.4"/>
    <row r="482" customFormat="1" ht="14.4"/>
    <row r="483" customFormat="1" ht="14.4"/>
    <row r="484" customFormat="1" ht="14.4"/>
    <row r="485" customFormat="1" ht="14.4"/>
    <row r="486" customFormat="1" ht="14.4"/>
    <row r="487" customFormat="1" ht="14.4"/>
    <row r="488" customFormat="1" ht="14.4"/>
    <row r="489" customFormat="1" ht="14.4"/>
    <row r="490" customFormat="1" ht="14.4"/>
    <row r="491" customFormat="1" ht="14.4"/>
    <row r="492" customFormat="1" ht="14.4"/>
    <row r="493" customFormat="1" ht="14.4"/>
    <row r="494" customFormat="1" ht="14.4"/>
    <row r="495" customFormat="1" ht="14.4"/>
    <row r="496" customFormat="1" ht="14.4"/>
    <row r="497" customFormat="1" ht="14.4"/>
    <row r="498" customFormat="1" ht="14.4"/>
    <row r="499" customFormat="1" ht="14.4"/>
    <row r="500" customFormat="1" ht="14.4"/>
    <row r="501" customFormat="1" ht="14.4"/>
    <row r="502" customFormat="1" ht="14.4"/>
    <row r="503" customFormat="1" ht="14.4"/>
    <row r="504" customFormat="1" ht="14.4"/>
    <row r="505" customFormat="1" ht="14.4"/>
    <row r="506" customFormat="1" ht="14.4"/>
    <row r="507" customFormat="1" ht="14.4"/>
    <row r="508" customFormat="1" ht="14.4"/>
    <row r="509" customFormat="1" ht="14.4"/>
    <row r="510" customFormat="1" ht="14.4"/>
    <row r="511" customFormat="1" ht="14.4"/>
    <row r="512" customFormat="1" ht="14.4"/>
    <row r="513" customFormat="1" ht="14.4"/>
    <row r="514" customFormat="1" ht="14.4"/>
    <row r="515" customFormat="1" ht="14.4"/>
    <row r="516" customFormat="1" ht="14.4"/>
    <row r="517" customFormat="1" ht="14.4"/>
    <row r="518" customFormat="1" ht="14.4"/>
    <row r="519" customFormat="1" ht="14.4"/>
    <row r="520" customFormat="1" ht="14.4"/>
    <row r="521" customFormat="1" ht="14.4"/>
    <row r="522" customFormat="1" ht="14.4"/>
    <row r="523" customFormat="1" ht="14.4"/>
    <row r="524" customFormat="1" ht="14.4"/>
    <row r="525" customFormat="1" ht="14.4"/>
    <row r="526" customFormat="1" ht="14.4"/>
    <row r="527" customFormat="1" ht="14.4"/>
    <row r="528" customFormat="1" ht="14.4"/>
    <row r="529" customFormat="1" ht="14.4"/>
    <row r="530" customFormat="1" ht="14.4"/>
    <row r="531" customFormat="1" ht="14.4"/>
    <row r="532" customFormat="1" ht="14.4"/>
    <row r="533" customFormat="1" ht="14.4"/>
    <row r="534" customFormat="1" ht="14.4"/>
    <row r="535" customFormat="1" ht="14.4"/>
    <row r="536" customFormat="1" ht="14.4"/>
    <row r="537" customFormat="1" ht="14.4"/>
    <row r="538" customFormat="1" ht="14.4"/>
    <row r="539" customFormat="1" ht="14.4"/>
    <row r="540" customFormat="1" ht="14.4"/>
    <row r="541" customFormat="1" ht="14.4"/>
    <row r="542" customFormat="1" ht="14.4"/>
    <row r="543" customFormat="1" ht="14.4"/>
    <row r="544" customFormat="1" ht="14.4"/>
    <row r="545" customFormat="1" ht="14.4"/>
    <row r="546" customFormat="1" ht="14.4"/>
    <row r="547" customFormat="1" ht="14.4"/>
    <row r="548" customFormat="1" ht="14.4"/>
    <row r="549" customFormat="1" ht="14.4"/>
    <row r="550" customFormat="1" ht="14.4"/>
    <row r="551" customFormat="1" ht="14.4"/>
    <row r="552" customFormat="1" ht="14.4"/>
    <row r="553" customFormat="1" ht="14.4"/>
    <row r="554" customFormat="1" ht="14.4"/>
    <row r="555" customFormat="1" ht="14.4"/>
    <row r="556" customFormat="1" ht="14.4"/>
    <row r="557" customFormat="1" ht="14.4"/>
    <row r="558" customFormat="1" ht="14.4"/>
    <row r="559" customFormat="1" ht="14.4"/>
    <row r="560" customFormat="1" ht="14.4"/>
    <row r="561" customFormat="1" ht="14.4"/>
    <row r="562" customFormat="1" ht="14.4"/>
    <row r="563" customFormat="1" ht="14.4"/>
    <row r="564" customFormat="1" ht="14.4"/>
    <row r="565" customFormat="1" ht="14.4"/>
    <row r="566" customFormat="1" ht="14.4"/>
    <row r="567" customFormat="1" ht="14.4"/>
    <row r="568" customFormat="1" ht="14.4"/>
    <row r="569" customFormat="1" ht="14.4"/>
    <row r="570" customFormat="1" ht="14.4"/>
    <row r="571" customFormat="1" ht="14.4"/>
    <row r="572" customFormat="1" ht="14.4"/>
    <row r="573" customFormat="1" ht="14.4"/>
    <row r="574" customFormat="1" ht="14.4"/>
    <row r="575" customFormat="1" ht="14.4"/>
    <row r="576" customFormat="1" ht="14.4"/>
    <row r="577" customFormat="1" ht="14.4"/>
    <row r="578" customFormat="1" ht="14.4"/>
    <row r="579" customFormat="1" ht="14.4"/>
    <row r="580" customFormat="1" ht="14.4"/>
    <row r="581" customFormat="1" ht="14.4"/>
    <row r="582" customFormat="1" ht="14.4"/>
    <row r="583" customFormat="1" ht="14.4"/>
    <row r="584" customFormat="1" ht="14.4"/>
    <row r="585" customFormat="1" ht="14.4"/>
    <row r="586" customFormat="1" ht="14.4"/>
    <row r="587" customFormat="1" ht="14.4"/>
    <row r="588" customFormat="1" ht="14.4"/>
    <row r="589" customFormat="1" ht="14.4"/>
    <row r="590" customFormat="1" ht="14.4"/>
    <row r="591" customFormat="1" ht="14.4"/>
    <row r="592" customFormat="1" ht="14.4"/>
    <row r="593" customFormat="1" ht="14.4"/>
    <row r="594" customFormat="1" ht="14.4"/>
    <row r="595" customFormat="1" ht="14.4"/>
    <row r="596" customFormat="1" ht="14.4"/>
    <row r="597" customFormat="1" ht="14.4"/>
    <row r="598" customFormat="1" ht="14.4"/>
    <row r="599" customFormat="1" ht="14.4"/>
    <row r="600" customFormat="1" ht="14.4"/>
    <row r="601" customFormat="1" ht="14.4"/>
    <row r="602" customFormat="1" ht="14.4"/>
    <row r="603" customFormat="1" ht="14.4"/>
    <row r="604" customFormat="1" ht="14.4"/>
    <row r="605" customFormat="1" ht="14.4"/>
    <row r="606" customFormat="1" ht="14.4"/>
    <row r="607" customFormat="1" ht="14.4"/>
    <row r="608" customFormat="1" ht="14.4"/>
    <row r="609" customFormat="1" ht="14.4"/>
    <row r="610" customFormat="1" ht="14.4"/>
    <row r="611" customFormat="1" ht="14.4"/>
    <row r="612" customFormat="1" ht="14.4"/>
    <row r="613" customFormat="1" ht="14.4"/>
    <row r="614" customFormat="1" ht="14.4"/>
    <row r="615" customFormat="1" ht="14.4"/>
    <row r="616" customFormat="1" ht="14.4"/>
    <row r="617" customFormat="1" ht="14.4"/>
    <row r="618" customFormat="1" ht="14.4"/>
    <row r="619" customFormat="1" ht="14.4"/>
    <row r="620" customFormat="1" ht="14.4"/>
    <row r="621" customFormat="1" ht="14.4"/>
    <row r="622" customFormat="1" ht="14.4"/>
    <row r="623" customFormat="1" ht="14.4"/>
    <row r="624" customFormat="1" ht="14.4"/>
    <row r="625" customFormat="1" ht="14.4"/>
    <row r="626" customFormat="1" ht="14.4"/>
    <row r="627" customFormat="1" ht="14.4"/>
    <row r="628" customFormat="1" ht="14.4"/>
    <row r="629" customFormat="1" ht="14.4"/>
    <row r="630" customFormat="1" ht="14.4"/>
    <row r="631" customFormat="1" ht="14.4"/>
    <row r="632" customFormat="1" ht="14.4"/>
    <row r="633" customFormat="1" ht="14.4"/>
    <row r="634" customFormat="1" ht="14.4"/>
    <row r="635" customFormat="1" ht="14.4"/>
    <row r="636" customFormat="1" ht="14.4"/>
    <row r="637" customFormat="1" ht="14.4"/>
    <row r="638" customFormat="1" ht="14.4"/>
    <row r="639" customFormat="1" ht="14.4"/>
    <row r="640" customFormat="1" ht="14.4"/>
    <row r="641" customFormat="1" ht="14.4"/>
    <row r="642" customFormat="1" ht="14.4"/>
    <row r="643" customFormat="1" ht="14.4"/>
    <row r="644" customFormat="1" ht="14.4"/>
    <row r="645" customFormat="1" ht="14.4"/>
    <row r="646" customFormat="1" ht="14.4"/>
    <row r="647" customFormat="1" ht="14.4"/>
    <row r="648" customFormat="1" ht="14.4"/>
    <row r="649" customFormat="1" ht="14.4"/>
    <row r="650" customFormat="1" ht="14.4"/>
    <row r="651" customFormat="1" ht="14.4"/>
    <row r="652" customFormat="1" ht="14.4"/>
    <row r="653" customFormat="1" ht="14.4"/>
    <row r="654" customFormat="1" ht="14.4"/>
    <row r="655" customFormat="1" ht="14.4"/>
    <row r="656" customFormat="1" ht="14.4"/>
    <row r="657" customFormat="1" ht="14.4"/>
    <row r="658" customFormat="1" ht="14.4"/>
    <row r="659" customFormat="1" ht="14.4"/>
    <row r="660" customFormat="1" ht="14.4"/>
    <row r="661" customFormat="1" ht="14.4"/>
    <row r="662" customFormat="1" ht="14.4"/>
    <row r="663" customFormat="1" ht="14.4"/>
    <row r="664" customFormat="1" ht="14.4"/>
    <row r="665" customFormat="1" ht="14.4"/>
    <row r="666" customFormat="1" ht="14.4"/>
    <row r="667" customFormat="1" ht="14.4"/>
    <row r="668" customFormat="1" ht="14.4"/>
    <row r="669" customFormat="1" ht="14.4"/>
    <row r="670" customFormat="1" ht="14.4"/>
    <row r="671" customFormat="1" ht="14.4"/>
    <row r="672" customFormat="1" ht="14.4"/>
    <row r="673" customFormat="1" ht="14.4"/>
    <row r="674" customFormat="1" ht="14.4"/>
    <row r="675" customFormat="1" ht="14.4"/>
    <row r="676" customFormat="1" ht="14.4"/>
    <row r="677" customFormat="1" ht="14.4"/>
    <row r="678" customFormat="1" ht="14.4"/>
    <row r="679" customFormat="1" ht="14.4"/>
    <row r="680" customFormat="1" ht="14.4"/>
    <row r="681" customFormat="1" ht="14.4"/>
    <row r="682" customFormat="1" ht="14.4"/>
    <row r="683" customFormat="1" ht="14.4"/>
    <row r="684" customFormat="1" ht="14.4"/>
    <row r="685" customFormat="1" ht="14.4"/>
    <row r="686" customFormat="1" ht="14.4"/>
    <row r="687" customFormat="1" ht="14.4"/>
    <row r="688" customFormat="1" ht="14.4"/>
    <row r="689" customFormat="1" ht="14.4"/>
    <row r="690" customFormat="1" ht="14.4"/>
    <row r="691" customFormat="1" ht="14.4"/>
    <row r="692" customFormat="1" ht="14.4"/>
    <row r="693" customFormat="1" ht="14.4"/>
    <row r="694" customFormat="1" ht="14.4"/>
    <row r="695" customFormat="1" ht="14.4"/>
    <row r="696" customFormat="1" ht="14.4"/>
    <row r="697" customFormat="1" ht="14.4"/>
    <row r="698" customFormat="1" ht="14.4"/>
    <row r="699" customFormat="1" ht="14.4"/>
    <row r="700" customFormat="1" ht="14.4"/>
    <row r="701" customFormat="1" ht="14.4"/>
    <row r="702" customFormat="1" ht="14.4"/>
    <row r="703" customFormat="1" ht="14.4"/>
    <row r="704" customFormat="1" ht="14.4"/>
    <row r="705" customFormat="1" ht="14.4"/>
    <row r="706" customFormat="1" ht="14.4"/>
    <row r="707" customFormat="1" ht="14.4"/>
    <row r="708" customFormat="1" ht="14.4"/>
    <row r="709" customFormat="1" ht="14.4"/>
    <row r="710" customFormat="1" ht="14.4"/>
    <row r="711" customFormat="1" ht="14.4"/>
    <row r="712" customFormat="1" ht="14.4"/>
    <row r="713" customFormat="1" ht="14.4"/>
    <row r="714" customFormat="1" ht="14.4"/>
    <row r="715" customFormat="1" ht="14.4"/>
    <row r="716" customFormat="1" ht="14.4"/>
    <row r="717" customFormat="1" ht="14.4"/>
    <row r="718" customFormat="1" ht="14.4"/>
    <row r="719" customFormat="1" ht="14.4"/>
    <row r="720" customFormat="1" ht="14.4"/>
    <row r="721" customFormat="1" ht="14.4"/>
    <row r="722" customFormat="1" ht="14.4"/>
    <row r="723" customFormat="1" ht="14.4"/>
    <row r="724" customFormat="1" ht="14.4"/>
    <row r="725" customFormat="1" ht="14.4"/>
    <row r="726" customFormat="1" ht="14.4"/>
    <row r="727" customFormat="1" ht="14.4"/>
    <row r="728" customFormat="1" ht="14.4"/>
    <row r="729" customFormat="1" ht="14.4"/>
    <row r="730" customFormat="1" ht="14.4"/>
    <row r="731" customFormat="1" ht="14.4"/>
    <row r="732" customFormat="1" ht="14.4"/>
    <row r="733" customFormat="1" ht="14.4"/>
    <row r="734" customFormat="1" ht="14.4"/>
    <row r="735" customFormat="1" ht="14.4"/>
    <row r="736" customFormat="1" ht="14.4"/>
    <row r="737" customFormat="1" ht="14.4"/>
    <row r="738" customFormat="1" ht="14.4"/>
    <row r="739" customFormat="1" ht="14.4"/>
    <row r="740" customFormat="1" ht="14.4"/>
    <row r="741" customFormat="1" ht="14.4"/>
    <row r="742" customFormat="1" ht="14.4"/>
    <row r="743" customFormat="1" ht="14.4"/>
    <row r="744" customFormat="1" ht="14.4"/>
    <row r="745" customFormat="1" ht="14.4"/>
    <row r="746" customFormat="1" ht="14.4"/>
    <row r="747" customFormat="1" ht="14.4"/>
    <row r="748" customFormat="1" ht="14.4"/>
    <row r="749" customFormat="1" ht="14.4"/>
    <row r="750" customFormat="1" ht="14.4"/>
    <row r="751" customFormat="1" ht="14.4"/>
    <row r="752" customFormat="1" ht="14.4"/>
    <row r="753" customFormat="1" ht="14.4"/>
    <row r="754" customFormat="1" ht="14.4"/>
    <row r="755" customFormat="1" ht="14.4"/>
    <row r="756" customFormat="1" ht="14.4"/>
    <row r="757" customFormat="1" ht="14.4"/>
    <row r="758" customFormat="1" ht="14.4"/>
    <row r="759" customFormat="1" ht="14.4"/>
    <row r="760" customFormat="1" ht="14.4"/>
    <row r="761" customFormat="1" ht="14.4"/>
    <row r="762" customFormat="1" ht="14.4"/>
    <row r="763" customFormat="1" ht="14.4"/>
    <row r="764" customFormat="1" ht="14.4"/>
    <row r="765" customFormat="1" ht="14.4"/>
    <row r="766" customFormat="1" ht="14.4"/>
    <row r="767" customFormat="1" ht="14.4"/>
    <row r="768" customFormat="1" ht="14.4"/>
    <row r="769" customFormat="1" ht="14.4"/>
    <row r="770" customFormat="1" ht="14.4"/>
    <row r="771" customFormat="1" ht="14.4"/>
    <row r="772" customFormat="1" ht="14.4"/>
    <row r="773" customFormat="1" ht="14.4"/>
    <row r="774" customFormat="1" ht="14.4"/>
    <row r="775" customFormat="1" ht="14.4"/>
    <row r="776" customFormat="1" ht="14.4"/>
    <row r="777" customFormat="1" ht="14.4"/>
    <row r="778" customFormat="1" ht="14.4"/>
    <row r="779" customFormat="1" ht="14.4"/>
    <row r="780" customFormat="1" ht="14.4"/>
    <row r="781" customFormat="1" ht="14.4"/>
    <row r="782" customFormat="1" ht="14.4"/>
    <row r="783" customFormat="1" ht="14.4"/>
    <row r="784" customFormat="1" ht="14.4"/>
    <row r="785" customFormat="1" ht="14.4"/>
    <row r="786" customFormat="1" ht="14.4"/>
    <row r="787" customFormat="1" ht="14.4"/>
    <row r="788" customFormat="1" ht="14.4"/>
    <row r="789" customFormat="1" ht="14.4"/>
    <row r="790" customFormat="1" ht="14.4"/>
    <row r="791" customFormat="1" ht="14.4"/>
    <row r="792" customFormat="1" ht="14.4"/>
    <row r="793" customFormat="1" ht="14.4"/>
    <row r="794" customFormat="1" ht="14.4"/>
    <row r="795" customFormat="1" ht="14.4"/>
    <row r="796" customFormat="1" ht="14.4"/>
    <row r="797" customFormat="1" ht="14.4"/>
    <row r="798" customFormat="1" ht="14.4"/>
    <row r="799" customFormat="1" ht="14.4"/>
    <row r="800" customFormat="1" ht="14.4"/>
    <row r="801" customFormat="1" ht="14.4"/>
    <row r="802" customFormat="1" ht="14.4"/>
    <row r="803" customFormat="1" ht="14.4"/>
    <row r="804" customFormat="1" ht="14.4"/>
    <row r="805" customFormat="1" ht="14.4"/>
    <row r="806" customFormat="1" ht="14.4"/>
    <row r="807" customFormat="1" ht="14.4"/>
    <row r="808" customFormat="1" ht="14.4"/>
    <row r="809" customFormat="1" ht="14.4"/>
    <row r="810" customFormat="1" ht="14.4"/>
    <row r="811" customFormat="1" ht="14.4"/>
    <row r="812" customFormat="1" ht="14.4"/>
    <row r="813" customFormat="1" ht="14.4"/>
    <row r="814" customFormat="1" ht="14.4"/>
    <row r="815" customFormat="1" ht="14.4"/>
    <row r="816" customFormat="1" ht="14.4"/>
    <row r="817" customFormat="1" ht="14.4"/>
    <row r="818" customFormat="1" ht="14.4"/>
    <row r="819" customFormat="1" ht="14.4"/>
    <row r="820" customFormat="1" ht="14.4"/>
    <row r="821" customFormat="1" ht="14.4"/>
    <row r="822" customFormat="1" ht="14.4"/>
    <row r="823" customFormat="1" ht="14.4"/>
    <row r="824" customFormat="1" ht="14.4"/>
    <row r="825" customFormat="1" ht="14.4"/>
    <row r="826" customFormat="1" ht="14.4"/>
    <row r="827" customFormat="1" ht="14.4"/>
    <row r="828" customFormat="1" ht="14.4"/>
    <row r="829" customFormat="1" ht="14.4"/>
    <row r="830" customFormat="1" ht="14.4"/>
    <row r="831" customFormat="1" ht="14.4"/>
    <row r="832" customFormat="1" ht="14.4"/>
    <row r="833" customFormat="1" ht="14.4"/>
    <row r="834" customFormat="1" ht="14.4"/>
    <row r="835" customFormat="1" ht="14.4"/>
    <row r="836" customFormat="1" ht="14.4"/>
    <row r="837" customFormat="1" ht="14.4"/>
    <row r="838" customFormat="1" ht="14.4"/>
    <row r="839" customFormat="1" ht="14.4"/>
    <row r="840" customFormat="1" ht="14.4"/>
    <row r="841" customFormat="1" ht="14.4"/>
    <row r="842" customFormat="1" ht="14.4"/>
    <row r="843" customFormat="1" ht="14.4"/>
    <row r="844" customFormat="1" ht="14.4"/>
    <row r="845" customFormat="1" ht="14.4"/>
    <row r="846" customFormat="1" ht="14.4"/>
    <row r="847" customFormat="1" ht="14.4"/>
    <row r="848" customFormat="1" ht="14.4"/>
    <row r="849" customFormat="1" ht="14.4"/>
    <row r="850" customFormat="1" ht="14.4"/>
    <row r="851" customFormat="1" ht="14.4"/>
    <row r="852" customFormat="1" ht="14.4"/>
    <row r="853" customFormat="1" ht="14.4"/>
    <row r="854" customFormat="1" ht="14.4"/>
    <row r="855" customFormat="1" ht="14.4"/>
    <row r="856" customFormat="1" ht="14.4"/>
    <row r="857" customFormat="1" ht="14.4"/>
    <row r="858" customFormat="1" ht="14.4"/>
    <row r="859" customFormat="1" ht="14.4"/>
    <row r="860" customFormat="1" ht="14.4"/>
    <row r="861" customFormat="1" ht="14.4"/>
    <row r="862" customFormat="1" ht="14.4"/>
    <row r="863" customFormat="1" ht="14.4"/>
    <row r="864" customFormat="1" ht="14.4"/>
    <row r="865" customFormat="1" ht="14.4"/>
    <row r="866" customFormat="1" ht="14.4"/>
    <row r="867" customFormat="1" ht="14.4"/>
    <row r="868" customFormat="1" ht="14.4"/>
    <row r="869" customFormat="1" ht="14.4"/>
    <row r="870" customFormat="1" ht="14.4"/>
    <row r="871" customFormat="1" ht="14.4"/>
    <row r="872" customFormat="1" ht="14.4"/>
    <row r="873" customFormat="1" ht="14.4"/>
    <row r="874" customFormat="1" ht="14.4"/>
    <row r="875" customFormat="1" ht="14.4"/>
    <row r="876" customFormat="1" ht="14.4"/>
    <row r="877" customFormat="1" ht="14.4"/>
    <row r="878" customFormat="1" ht="14.4"/>
    <row r="879" customFormat="1" ht="14.4"/>
    <row r="880" customFormat="1" ht="14.4"/>
    <row r="881" customFormat="1" ht="14.4"/>
    <row r="882" customFormat="1" ht="14.4"/>
    <row r="883" customFormat="1" ht="14.4"/>
    <row r="884" customFormat="1" ht="14.4"/>
    <row r="885" customFormat="1" ht="14.4"/>
    <row r="886" customFormat="1" ht="14.4"/>
    <row r="887" customFormat="1" ht="14.4"/>
    <row r="888" customFormat="1" ht="14.4"/>
    <row r="889" customFormat="1" ht="14.4"/>
    <row r="890" customFormat="1" ht="14.4"/>
    <row r="891" customFormat="1" ht="14.4"/>
    <row r="892" customFormat="1" ht="14.4"/>
    <row r="893" customFormat="1" ht="14.4"/>
    <row r="894" customFormat="1" ht="14.4"/>
    <row r="895" customFormat="1" ht="14.4"/>
    <row r="896" customFormat="1" ht="14.4"/>
    <row r="897" customFormat="1" ht="14.4"/>
    <row r="898" customFormat="1" ht="14.4"/>
    <row r="899" customFormat="1" ht="14.4"/>
    <row r="900" customFormat="1" ht="14.4"/>
    <row r="901" customFormat="1" ht="14.4"/>
    <row r="902" customFormat="1" ht="14.4"/>
    <row r="903" customFormat="1" ht="14.4"/>
    <row r="904" customFormat="1" ht="14.4"/>
    <row r="905" customFormat="1" ht="14.4"/>
    <row r="906" customFormat="1" ht="14.4"/>
    <row r="907" customFormat="1" ht="14.4"/>
    <row r="908" customFormat="1" ht="14.4"/>
    <row r="909" customFormat="1" ht="14.4"/>
    <row r="910" customFormat="1" ht="14.4"/>
    <row r="911" customFormat="1" ht="14.4"/>
    <row r="912" customFormat="1" ht="14.4"/>
    <row r="913" customFormat="1" ht="14.4"/>
    <row r="914" customFormat="1" ht="14.4"/>
    <row r="915" customFormat="1" ht="14.4"/>
    <row r="916" customFormat="1" ht="14.4"/>
    <row r="917" customFormat="1" ht="14.4"/>
    <row r="918" customFormat="1" ht="14.4"/>
    <row r="919" customFormat="1" ht="14.4"/>
    <row r="920" customFormat="1" ht="14.4"/>
    <row r="921" customFormat="1" ht="14.4"/>
    <row r="922" customFormat="1" ht="14.4"/>
    <row r="923" customFormat="1" ht="14.4"/>
    <row r="924" customFormat="1" ht="14.4"/>
    <row r="925" customFormat="1" ht="14.4"/>
    <row r="926" customFormat="1" ht="14.4"/>
    <row r="927" customFormat="1" ht="14.4"/>
    <row r="928" customFormat="1" ht="14.4"/>
    <row r="929" customFormat="1" ht="14.4"/>
    <row r="930" customFormat="1" ht="14.4"/>
    <row r="931" customFormat="1" ht="14.4"/>
    <row r="932" customFormat="1" ht="14.4"/>
    <row r="933" customFormat="1" ht="14.4"/>
    <row r="934" customFormat="1" ht="14.4"/>
    <row r="935" customFormat="1" ht="14.4"/>
    <row r="936" customFormat="1" ht="14.4"/>
    <row r="937" customFormat="1" ht="14.4"/>
    <row r="938" customFormat="1" ht="14.4"/>
    <row r="939" customFormat="1" ht="14.4"/>
    <row r="940" customFormat="1" ht="14.4"/>
    <row r="941" customFormat="1" ht="14.4"/>
    <row r="942" customFormat="1" ht="14.4"/>
    <row r="943" customFormat="1" ht="14.4"/>
    <row r="944" customFormat="1" ht="14.4"/>
    <row r="945" customFormat="1" ht="14.4"/>
    <row r="946" customFormat="1" ht="14.4"/>
    <row r="947" customFormat="1" ht="14.4"/>
    <row r="948" customFormat="1" ht="14.4"/>
    <row r="949" customFormat="1" ht="14.4"/>
    <row r="950" customFormat="1" ht="14.4"/>
    <row r="951" customFormat="1" ht="14.4"/>
    <row r="952" customFormat="1" ht="14.4"/>
    <row r="953" customFormat="1" ht="14.4"/>
    <row r="954" customFormat="1" ht="14.4"/>
    <row r="955" customFormat="1" ht="14.4"/>
    <row r="956" customFormat="1" ht="14.4"/>
    <row r="957" customFormat="1" ht="14.4"/>
    <row r="958" customFormat="1" ht="14.4"/>
    <row r="959" customFormat="1" ht="14.4"/>
    <row r="960" customFormat="1" ht="14.4"/>
    <row r="961" customFormat="1" ht="14.4"/>
    <row r="962" customFormat="1" ht="14.4"/>
    <row r="963" customFormat="1" ht="14.4"/>
    <row r="964" customFormat="1" ht="14.4"/>
    <row r="965" customFormat="1" ht="14.4"/>
    <row r="966" customFormat="1" ht="14.4"/>
    <row r="967" customFormat="1" ht="14.4"/>
    <row r="968" customFormat="1" ht="14.4"/>
    <row r="969" customFormat="1" ht="14.4"/>
    <row r="970" customFormat="1" ht="14.4"/>
    <row r="971" customFormat="1" ht="14.4"/>
    <row r="972" customFormat="1" ht="14.4"/>
    <row r="973" customFormat="1" ht="14.4"/>
    <row r="974" customFormat="1" ht="14.4"/>
    <row r="975" customFormat="1" ht="14.4"/>
    <row r="976" customFormat="1" ht="14.4"/>
    <row r="977" customFormat="1" ht="14.4"/>
    <row r="978" customFormat="1" ht="14.4"/>
    <row r="979" customFormat="1" ht="14.4"/>
    <row r="980" customFormat="1" ht="14.4"/>
    <row r="981" customFormat="1" ht="14.4"/>
    <row r="982" customFormat="1" ht="14.4"/>
    <row r="983" customFormat="1" ht="14.4"/>
    <row r="984" customFormat="1" ht="14.4"/>
    <row r="985" customFormat="1" ht="14.4"/>
    <row r="986" customFormat="1" ht="14.4"/>
    <row r="987" customFormat="1" ht="14.4"/>
    <row r="988" customFormat="1" ht="14.4"/>
    <row r="989" customFormat="1" ht="14.4"/>
    <row r="990" customFormat="1" ht="14.4"/>
    <row r="991" customFormat="1" ht="14.4"/>
    <row r="992" customFormat="1" ht="14.4"/>
    <row r="993" customFormat="1" ht="14.4"/>
    <row r="994" customFormat="1" ht="14.4"/>
    <row r="995" customFormat="1" ht="14.4"/>
    <row r="996" customFormat="1" ht="14.4"/>
    <row r="997" customFormat="1" ht="14.4"/>
    <row r="998" customFormat="1" ht="14.4"/>
    <row r="999" customFormat="1" ht="14.4"/>
    <row r="1000" customFormat="1" ht="14.4"/>
  </sheetData>
  <mergeCells count="5">
    <mergeCell ref="C63:AR63"/>
    <mergeCell ref="C8:AR8"/>
    <mergeCell ref="C27:AR27"/>
    <mergeCell ref="C39:AR39"/>
    <mergeCell ref="C51:AR51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zoomScale="85" zoomScaleNormal="85" workbookViewId="0">
      <selection activeCell="D2" sqref="D2"/>
    </sheetView>
  </sheetViews>
  <sheetFormatPr defaultColWidth="14.44140625" defaultRowHeight="15" customHeight="1"/>
  <cols>
    <col min="1" max="1" width="22.44140625" customWidth="1"/>
    <col min="2" max="2" width="1.33203125" customWidth="1"/>
    <col min="3" max="3" width="23.33203125" customWidth="1"/>
    <col min="4" max="4" width="18.5546875" customWidth="1"/>
    <col min="5" max="6" width="8.6640625" customWidth="1"/>
    <col min="7" max="7" width="18.33203125" customWidth="1"/>
    <col min="8" max="8" width="8.6640625" customWidth="1"/>
    <col min="9" max="9" width="22.88671875" customWidth="1"/>
    <col min="10" max="10" width="2.33203125" customWidth="1"/>
    <col min="11" max="11" width="18" customWidth="1"/>
    <col min="12" max="12" width="13" customWidth="1"/>
    <col min="13" max="14" width="12.109375" customWidth="1"/>
    <col min="15" max="15" width="19.5546875" customWidth="1"/>
    <col min="16" max="26" width="8.6640625" customWidth="1"/>
  </cols>
  <sheetData>
    <row r="1" spans="1:26" ht="14.25" customHeight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5.8" customHeight="1">
      <c r="A2" s="41" t="s">
        <v>38</v>
      </c>
      <c r="B2" s="42"/>
      <c r="C2" s="43"/>
      <c r="D2" s="13" t="s">
        <v>33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27" customHeight="1">
      <c r="A3" s="44" t="s">
        <v>39</v>
      </c>
      <c r="B3" s="45"/>
      <c r="C3" s="45"/>
      <c r="D3" s="45"/>
      <c r="E3" s="45"/>
      <c r="F3" s="45"/>
      <c r="G3" s="46"/>
      <c r="H3" s="12"/>
      <c r="I3" s="47" t="s">
        <v>40</v>
      </c>
      <c r="J3" s="45"/>
      <c r="K3" s="45"/>
      <c r="L3" s="45"/>
      <c r="M3" s="45"/>
      <c r="N3" s="45"/>
      <c r="O3" s="46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>
      <c r="A4" s="14"/>
      <c r="B4" s="14"/>
      <c r="C4" s="14"/>
      <c r="D4" s="15"/>
      <c r="E4" s="15"/>
      <c r="F4" s="15"/>
      <c r="G4" s="15"/>
      <c r="H4" s="12"/>
      <c r="I4" s="14"/>
      <c r="J4" s="14"/>
      <c r="K4" s="14"/>
      <c r="L4" s="15"/>
      <c r="M4" s="15"/>
      <c r="N4" s="15"/>
      <c r="O4" s="15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25.5" customHeight="1">
      <c r="A5" s="16" t="s">
        <v>41</v>
      </c>
      <c r="B5" s="14"/>
      <c r="C5" s="14"/>
      <c r="D5" s="15"/>
      <c r="E5" s="15"/>
      <c r="F5" s="15"/>
      <c r="G5" s="15"/>
      <c r="H5" s="12"/>
      <c r="I5" s="24" t="s">
        <v>42</v>
      </c>
      <c r="J5" s="14"/>
      <c r="K5" s="14"/>
      <c r="L5" s="15"/>
      <c r="M5" s="15"/>
      <c r="N5" s="15"/>
      <c r="O5" s="15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4.25" customHeight="1">
      <c r="A6" s="14"/>
      <c r="B6" s="14"/>
      <c r="C6" s="14"/>
      <c r="D6" s="15"/>
      <c r="E6" s="15"/>
      <c r="F6" s="15"/>
      <c r="G6" s="15"/>
      <c r="H6" s="12"/>
      <c r="I6" s="14"/>
      <c r="J6" s="14"/>
      <c r="K6" s="14"/>
      <c r="L6" s="15"/>
      <c r="M6" s="15"/>
      <c r="N6" s="15"/>
      <c r="O6" s="15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25.5" customHeight="1">
      <c r="A7" s="17">
        <f>SUM(DATA!C16:E16)</f>
        <v>2285000</v>
      </c>
      <c r="B7" s="14"/>
      <c r="C7" s="18" t="s">
        <v>43</v>
      </c>
      <c r="D7" s="15"/>
      <c r="E7" s="15"/>
      <c r="F7" s="15"/>
      <c r="G7" s="15"/>
      <c r="H7" s="12"/>
      <c r="I7" s="19">
        <f>SUM(DATA!R16:T16)</f>
        <v>301</v>
      </c>
      <c r="J7" s="14"/>
      <c r="K7" s="18" t="s">
        <v>44</v>
      </c>
      <c r="L7" s="15"/>
      <c r="M7" s="15"/>
      <c r="N7" s="15"/>
      <c r="O7" s="15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4.25" customHeight="1">
      <c r="A8" s="14"/>
      <c r="B8" s="14"/>
      <c r="C8" s="18"/>
      <c r="D8" s="15"/>
      <c r="E8" s="15"/>
      <c r="F8" s="15"/>
      <c r="G8" s="15"/>
      <c r="H8" s="12"/>
      <c r="I8" s="14"/>
      <c r="J8" s="14"/>
      <c r="K8" s="14"/>
      <c r="L8" s="15"/>
      <c r="M8" s="15"/>
      <c r="N8" s="15"/>
      <c r="O8" s="15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32.4" customHeight="1">
      <c r="A9" s="17">
        <f>SUM(DATA!F16:H16)</f>
        <v>2325000</v>
      </c>
      <c r="B9" s="14"/>
      <c r="C9" s="18" t="s">
        <v>45</v>
      </c>
      <c r="D9" s="15"/>
      <c r="E9" s="15"/>
      <c r="F9" s="15"/>
      <c r="G9" s="15"/>
      <c r="H9" s="12"/>
      <c r="I9" s="17">
        <f>SUM(DATA!O16:Q16)</f>
        <v>400</v>
      </c>
      <c r="J9" s="14"/>
      <c r="K9" s="18" t="s">
        <v>46</v>
      </c>
      <c r="L9" s="15"/>
      <c r="M9" s="15"/>
      <c r="N9" s="15"/>
      <c r="O9" s="15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4.25" customHeight="1">
      <c r="A10" s="14"/>
      <c r="B10" s="14"/>
      <c r="C10" s="18"/>
      <c r="D10" s="15"/>
      <c r="E10" s="15"/>
      <c r="F10" s="15"/>
      <c r="G10" s="15"/>
      <c r="H10" s="12"/>
      <c r="I10" s="14"/>
      <c r="J10" s="14"/>
      <c r="K10" s="18"/>
      <c r="L10" s="15"/>
      <c r="M10" s="15"/>
      <c r="N10" s="15"/>
      <c r="O10" s="15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31.8" customHeight="1">
      <c r="A11" s="20">
        <f>A7/A9</f>
        <v>0.98279569892473118</v>
      </c>
      <c r="B11" s="14"/>
      <c r="C11" s="18" t="s">
        <v>47</v>
      </c>
      <c r="D11" s="15"/>
      <c r="E11" s="15"/>
      <c r="F11" s="15"/>
      <c r="G11" s="15"/>
      <c r="H11" s="12"/>
      <c r="I11" s="20">
        <f>I7/I9</f>
        <v>0.75249999999999995</v>
      </c>
      <c r="J11" s="14"/>
      <c r="K11" s="18" t="s">
        <v>47</v>
      </c>
      <c r="L11" s="15"/>
      <c r="M11" s="15"/>
      <c r="N11" s="15"/>
      <c r="O11" s="15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4.25" customHeight="1">
      <c r="A12" s="15"/>
      <c r="B12" s="15"/>
      <c r="C12" s="21"/>
      <c r="D12" s="15"/>
      <c r="E12" s="15"/>
      <c r="F12" s="15"/>
      <c r="G12" s="15"/>
      <c r="H12" s="12"/>
      <c r="I12" s="15"/>
      <c r="J12" s="15"/>
      <c r="K12" s="15"/>
      <c r="L12" s="15"/>
      <c r="M12" s="15"/>
      <c r="N12" s="15"/>
      <c r="O12" s="15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4.25" customHeight="1">
      <c r="A13" s="15"/>
      <c r="B13" s="15"/>
      <c r="C13" s="15"/>
      <c r="D13" s="15"/>
      <c r="E13" s="15"/>
      <c r="F13" s="15"/>
      <c r="G13" s="15"/>
      <c r="H13" s="12"/>
      <c r="I13" s="15"/>
      <c r="J13" s="15"/>
      <c r="K13" s="15"/>
      <c r="L13" s="15"/>
      <c r="M13" s="15"/>
      <c r="N13" s="15"/>
      <c r="O13" s="15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4.25" customHeight="1">
      <c r="A14" s="15"/>
      <c r="B14" s="15"/>
      <c r="C14" s="15"/>
      <c r="D14" s="15"/>
      <c r="E14" s="15"/>
      <c r="F14" s="15"/>
      <c r="G14" s="15"/>
      <c r="H14" s="12"/>
      <c r="I14" s="15"/>
      <c r="J14" s="15"/>
      <c r="K14" s="15"/>
      <c r="L14" s="15"/>
      <c r="M14" s="15"/>
      <c r="N14" s="15"/>
      <c r="O14" s="15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4.25" customHeight="1">
      <c r="A15" s="15"/>
      <c r="B15" s="15"/>
      <c r="C15" s="15"/>
      <c r="D15" s="15"/>
      <c r="E15" s="15"/>
      <c r="F15" s="15"/>
      <c r="G15" s="15"/>
      <c r="H15" s="12"/>
      <c r="I15" s="15"/>
      <c r="J15" s="15"/>
      <c r="K15" s="15"/>
      <c r="L15" s="15"/>
      <c r="M15" s="15"/>
      <c r="N15" s="15"/>
      <c r="O15" s="15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35.25" customHeight="1">
      <c r="A16" s="15"/>
      <c r="B16" s="15"/>
      <c r="C16" s="15"/>
      <c r="D16" s="15"/>
      <c r="E16" s="15"/>
      <c r="F16" s="15"/>
      <c r="G16" s="15"/>
      <c r="H16" s="12"/>
      <c r="I16" s="15"/>
      <c r="J16" s="15"/>
      <c r="K16" s="15"/>
      <c r="L16" s="15"/>
      <c r="M16" s="15"/>
      <c r="N16" s="15"/>
      <c r="O16" s="15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4.2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4.25" customHeight="1">
      <c r="A18" s="48" t="s">
        <v>48</v>
      </c>
      <c r="B18" s="49"/>
      <c r="C18" s="49"/>
      <c r="D18" s="49"/>
      <c r="E18" s="49"/>
      <c r="F18" s="49"/>
      <c r="G18" s="50"/>
      <c r="H18" s="12"/>
      <c r="I18" s="54" t="s">
        <v>49</v>
      </c>
      <c r="J18" s="49"/>
      <c r="K18" s="49"/>
      <c r="L18" s="49"/>
      <c r="M18" s="49"/>
      <c r="N18" s="49"/>
      <c r="O18" s="50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>
      <c r="A19" s="51"/>
      <c r="B19" s="52"/>
      <c r="C19" s="52"/>
      <c r="D19" s="52"/>
      <c r="E19" s="52"/>
      <c r="F19" s="52"/>
      <c r="G19" s="53"/>
      <c r="H19" s="12"/>
      <c r="I19" s="51"/>
      <c r="J19" s="52"/>
      <c r="K19" s="52"/>
      <c r="L19" s="52"/>
      <c r="M19" s="52"/>
      <c r="N19" s="52"/>
      <c r="O19" s="53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>
      <c r="A20" s="14"/>
      <c r="B20" s="14"/>
      <c r="C20" s="14"/>
      <c r="D20" s="15"/>
      <c r="E20" s="15"/>
      <c r="F20" s="15"/>
      <c r="G20" s="15"/>
      <c r="H20" s="12"/>
      <c r="I20" s="14"/>
      <c r="J20" s="14"/>
      <c r="K20" s="14"/>
      <c r="L20" s="15"/>
      <c r="M20" s="15"/>
      <c r="N20" s="15"/>
      <c r="O20" s="15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36" customHeight="1">
      <c r="A21" s="23" t="s">
        <v>50</v>
      </c>
      <c r="B21" s="14"/>
      <c r="C21" s="14"/>
      <c r="D21" s="15"/>
      <c r="E21" s="15"/>
      <c r="F21" s="15"/>
      <c r="G21" s="15"/>
      <c r="H21" s="12"/>
      <c r="I21" s="22" t="s">
        <v>51</v>
      </c>
      <c r="J21" s="14"/>
      <c r="K21" s="14"/>
      <c r="L21" s="15"/>
      <c r="M21" s="15"/>
      <c r="N21" s="15"/>
      <c r="O21" s="15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>
      <c r="A22" s="14"/>
      <c r="B22" s="14"/>
      <c r="C22" s="14"/>
      <c r="D22" s="15"/>
      <c r="E22" s="15"/>
      <c r="F22" s="15"/>
      <c r="G22" s="15"/>
      <c r="H22" s="12"/>
      <c r="I22" s="14"/>
      <c r="J22" s="14"/>
      <c r="K22" s="14"/>
      <c r="L22" s="15"/>
      <c r="M22" s="15"/>
      <c r="N22" s="15"/>
      <c r="O22" s="15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28.2" customHeight="1">
      <c r="A23" s="17">
        <f>SUM(DATA!AJ16:AL16)/3</f>
        <v>13558.833333333334</v>
      </c>
      <c r="B23" s="14"/>
      <c r="C23" s="18" t="s">
        <v>52</v>
      </c>
      <c r="D23" s="15"/>
      <c r="E23" s="15"/>
      <c r="F23" s="15"/>
      <c r="G23" s="15"/>
      <c r="H23" s="12"/>
      <c r="I23" s="17">
        <f>SUM(DATA!AA16:AC16)/3</f>
        <v>1810.2266666666667</v>
      </c>
      <c r="J23" s="17"/>
      <c r="K23" s="18" t="s">
        <v>53</v>
      </c>
      <c r="L23" s="15"/>
      <c r="M23" s="15"/>
      <c r="N23" s="15"/>
      <c r="O23" s="15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28.2" customHeight="1">
      <c r="A24" s="14"/>
      <c r="B24" s="14"/>
      <c r="C24" s="18"/>
      <c r="D24" s="15"/>
      <c r="E24" s="15"/>
      <c r="F24" s="15"/>
      <c r="G24" s="15"/>
      <c r="H24" s="12"/>
      <c r="I24" s="17"/>
      <c r="J24" s="17"/>
      <c r="K24" s="18"/>
      <c r="L24" s="15"/>
      <c r="M24" s="15"/>
      <c r="N24" s="15"/>
      <c r="O24" s="15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24" customHeight="1">
      <c r="A25" s="17">
        <f>SUM(DATA!AP16:AR16)/3</f>
        <v>11666.666666666666</v>
      </c>
      <c r="B25" s="14"/>
      <c r="C25" s="18" t="s">
        <v>54</v>
      </c>
      <c r="D25" s="15"/>
      <c r="E25" s="15"/>
      <c r="F25" s="15"/>
      <c r="G25" s="15"/>
      <c r="H25" s="12"/>
      <c r="I25" s="17">
        <f>SUM(DATA!AD16:AF16)/3</f>
        <v>1916.6666666666667</v>
      </c>
      <c r="J25" s="17"/>
      <c r="K25" s="18" t="s">
        <v>55</v>
      </c>
      <c r="L25" s="15"/>
      <c r="M25" s="15"/>
      <c r="N25" s="15"/>
      <c r="O25" s="15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24" customHeight="1">
      <c r="A26" s="14"/>
      <c r="B26" s="14"/>
      <c r="C26" s="18"/>
      <c r="D26" s="15"/>
      <c r="E26" s="15"/>
      <c r="F26" s="15"/>
      <c r="G26" s="15"/>
      <c r="H26" s="12"/>
      <c r="I26" s="17"/>
      <c r="J26" s="17"/>
      <c r="K26" s="18"/>
      <c r="L26" s="15"/>
      <c r="M26" s="15"/>
      <c r="N26" s="15"/>
      <c r="O26" s="15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24" customHeight="1">
      <c r="A27" s="20">
        <f>A23/A25</f>
        <v>1.1621857142857144</v>
      </c>
      <c r="B27" s="14"/>
      <c r="C27" s="18" t="s">
        <v>47</v>
      </c>
      <c r="D27" s="15"/>
      <c r="E27" s="15"/>
      <c r="F27" s="15"/>
      <c r="G27" s="15"/>
      <c r="H27" s="12"/>
      <c r="I27" s="20">
        <f>I23/I25</f>
        <v>0.94446608695652168</v>
      </c>
      <c r="J27" s="17"/>
      <c r="K27" s="18" t="s">
        <v>47</v>
      </c>
      <c r="L27" s="15"/>
      <c r="M27" s="15"/>
      <c r="N27" s="15"/>
      <c r="O27" s="15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4.25" customHeight="1">
      <c r="A28" s="15"/>
      <c r="B28" s="15"/>
      <c r="C28" s="15"/>
      <c r="D28" s="15"/>
      <c r="E28" s="15"/>
      <c r="F28" s="15"/>
      <c r="G28" s="15"/>
      <c r="H28" s="12"/>
      <c r="I28" s="15"/>
      <c r="J28" s="15"/>
      <c r="K28" s="15"/>
      <c r="L28" s="15"/>
      <c r="M28" s="15"/>
      <c r="N28" s="15"/>
      <c r="O28" s="15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4.25" customHeight="1">
      <c r="A29" s="15"/>
      <c r="B29" s="15"/>
      <c r="C29" s="15"/>
      <c r="D29" s="15"/>
      <c r="E29" s="15"/>
      <c r="F29" s="15"/>
      <c r="G29" s="15"/>
      <c r="H29" s="12"/>
      <c r="I29" s="15"/>
      <c r="J29" s="15"/>
      <c r="K29" s="15"/>
      <c r="L29" s="15"/>
      <c r="M29" s="15"/>
      <c r="N29" s="15"/>
      <c r="O29" s="1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4.25" customHeight="1">
      <c r="A30" s="15"/>
      <c r="B30" s="15"/>
      <c r="C30" s="15"/>
      <c r="D30" s="15"/>
      <c r="E30" s="15"/>
      <c r="F30" s="15"/>
      <c r="G30" s="15"/>
      <c r="H30" s="12"/>
      <c r="I30" s="15"/>
      <c r="J30" s="15"/>
      <c r="K30" s="15"/>
      <c r="L30" s="15"/>
      <c r="M30" s="15"/>
      <c r="N30" s="15"/>
      <c r="O30" s="15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4.25" customHeight="1">
      <c r="A31" s="15"/>
      <c r="B31" s="15"/>
      <c r="C31" s="15"/>
      <c r="D31" s="15"/>
      <c r="E31" s="15"/>
      <c r="F31" s="15"/>
      <c r="G31" s="15"/>
      <c r="H31" s="12"/>
      <c r="I31" s="15"/>
      <c r="J31" s="15"/>
      <c r="K31" s="15"/>
      <c r="L31" s="15"/>
      <c r="M31" s="15"/>
      <c r="N31" s="15"/>
      <c r="O31" s="15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53.25" customHeight="1">
      <c r="A32" s="15"/>
      <c r="B32" s="15"/>
      <c r="C32" s="15"/>
      <c r="D32" s="15"/>
      <c r="E32" s="15"/>
      <c r="F32" s="15"/>
      <c r="G32" s="15"/>
      <c r="H32" s="12"/>
      <c r="I32" s="15"/>
      <c r="J32" s="15"/>
      <c r="K32" s="15"/>
      <c r="L32" s="15"/>
      <c r="M32" s="15"/>
      <c r="N32" s="15"/>
      <c r="O32" s="15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4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4.2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4.2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4.2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4.2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4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4.2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4.2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4.2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4.2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4.2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4.2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4.2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4.2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4.2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4.2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4.2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4.2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4.2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4.2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4.2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4.2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4.2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4.2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4.2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4.2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4.2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4.2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4.2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4.2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4.2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4.2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4.2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4.2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4.2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4.2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4.2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4.2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4.2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4.2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4.2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4.2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4.2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4.2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4.2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4.2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4.2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4.2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4.2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4.2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4.2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4.2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4.2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4.2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4.2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4.2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4.2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4.2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4.2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4.2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4.2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4.2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4.2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4.2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4.2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4.2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4.2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4.2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4.2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4.2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4.2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4.2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4.2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4.2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4.2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4.2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4.2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4.2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4.2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4.2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4.2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4.2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4.2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4.2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4.2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4.2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4.2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4.2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4.2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4.2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4.2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4.2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4.2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4.2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4.2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4.2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4.2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4.2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4.2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4.2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4.2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4.2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4.2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4.2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4.2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4.2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4.2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4.2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4.2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4.2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4.2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4.2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4.2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4.2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4.2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4.2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4.2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4.2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4.2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4.2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4.2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4.2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4.2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4.2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4.2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4.2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4.2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4.2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4.2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4.2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4.2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4.2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4.2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4.2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4.2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4.2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4.2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4.2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4.2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4.2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4.2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4.2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4.2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4.2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4.2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4.2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4.2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4.2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4.2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4.2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4.2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4.2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4.2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4.2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4.2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4.2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4.2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4.2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4.2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4.2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4.2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4.2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4.2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4.2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4.2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4.2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4.2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4.2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4.2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4.2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4.2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4.2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4.2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4.2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4.2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4.2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4.2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4.2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4.2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4.2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4.2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4.2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4.2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4.2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4.2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4.2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4.2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4.2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4.2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4.2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4.2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4.2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4.2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4.2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4.2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4.2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4.2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4.2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4.2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4.2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4.2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4.2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4.2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4.2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4.2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4.2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4.2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4.2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4.2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4.2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4.2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4.2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4.2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4.2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4.2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4.2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4.2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4.2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4.2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4.2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4.2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4.2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4.2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4.2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4.2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4.2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4.2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4.2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4.2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4.2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4.2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4.2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4.2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4.2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4.2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4.2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4.2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4.2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4.2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4.2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4.2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4.2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4.2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4.2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4.2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4.2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4.2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4.2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4.2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4.2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4.2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4.2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4.2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4.2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4.2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4.2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4.2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4.2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4.2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4.2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4.2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4.2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4.2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4.2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4.2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4.2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4.2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4.2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4.2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4.2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4.2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4.2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4.2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4.2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4.2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4.2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4.2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4.2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4.2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4.2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4.2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4.2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4.2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4.2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4.2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4.2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4.2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4.2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4.2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4.2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4.2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4.2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4.2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4.2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4.2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4.2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4.2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4.2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4.2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4.2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4.2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4.2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4.2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4.2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4.2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4.2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4.2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4.2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4.2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4.2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4.2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4.2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4.2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4.2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4.2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4.2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4.2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4.2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4.2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4.2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4.2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4.2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4.2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4.2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4.2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4.2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4.2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4.2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4.2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4.2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4.2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4.2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4.2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4.2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4.2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4.2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4.2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4.2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4.2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4.2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4.2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4.2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4.2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4.2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4.2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4.2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4.2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4.2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4.2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4.2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4.2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4.2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4.2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4.2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4.2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4.2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4.2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4.2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4.2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4.2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4.2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4.2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4.2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4.2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4.2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4.2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4.2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4.2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4.2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4.2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4.2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4.2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4.2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4.2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4.2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4.2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4.2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4.2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4.2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4.2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4.2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4.2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4.2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4.2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4.2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4.2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4.2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4.2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4.2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4.2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4.2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4.2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4.2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4.2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4.2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4.2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4.2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4.2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4.2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4.2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4.2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4.2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4.2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4.2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4.2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4.2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4.2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4.2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4.2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4.2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4.2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4.2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4.2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4.2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4.2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4.2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4.2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4.2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4.2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4.2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4.2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4.2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4.2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4.2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4.2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4.2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4.2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4.2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4.2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4.2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4.2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4.2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4.2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4.2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4.2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4.2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4.2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4.2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4.2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4.2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4.2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4.2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4.2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4.2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4.2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4.2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4.2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4.2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4.2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4.2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4.2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4.2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4.2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4.2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4.2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4.2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4.2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4.2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4.2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4.2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4.2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4.2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4.2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4.2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4.2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4.2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4.2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4.2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4.2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4.2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4.2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4.2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4.2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4.2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4.2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4.2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4.2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4.2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4.2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4.2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4.2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4.2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4.2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4.2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4.2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4.2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4.2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4.2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4.2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4.2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4.2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4.2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4.2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4.2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4.2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4.2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4.2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4.2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4.2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4.2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4.2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4.2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4.2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4.2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4.2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4.2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4.2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4.2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4.2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4.2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4.2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4.2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4.2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4.2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4.2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4.2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4.2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4.2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4.2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4.2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4.2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4.2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4.2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4.2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4.2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4.2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4.2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4.2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4.2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4.2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4.2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4.2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4.2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4.2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4.2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4.2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4.2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4.2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4.2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4.2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4.2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4.2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4.2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4.2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4.2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4.2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4.2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4.2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4.2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4.2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4.2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4.2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4.2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4.2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4.2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4.2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4.2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4.2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4.2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4.2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4.2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4.2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4.2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4.2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4.2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4.2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4.2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4.2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4.2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4.2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4.2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4.2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4.2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4.2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4.2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4.2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4.2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4.2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4.2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4.2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4.2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4.2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4.2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4.2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4.2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4.2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4.2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4.2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4.2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4.2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4.2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4.2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4.2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4.2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4.2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4.2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4.2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4.2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4.2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4.2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4.2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4.2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4.2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4.2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4.2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4.2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4.2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4.2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4.2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4.2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4.2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4.2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4.2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4.2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4.2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4.2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4.2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4.2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4.2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4.2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4.2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4.2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4.2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4.2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4.2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4.2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4.2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4.2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4.2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4.2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4.2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4.2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4.2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4.2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4.2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4.2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4.2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4.2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4.2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4.2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4.2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4.2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4.2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4.2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4.2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4.2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4.2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4.2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4.2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4.2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4.2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4.2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4.2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4.2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4.2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4.2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4.2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4.2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4.2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4.2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4.2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4.2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4.2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4.2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4.2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4.2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4.2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4.2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4.2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4.2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4.2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4.2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4.2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4.2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4.2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4.2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4.2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4.2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4.2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4.2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4.2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4.2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4.2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4.2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4.2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4.2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4.2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4.2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4.2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4.2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4.2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4.2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4.2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4.2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4.2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4.2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4.2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4.2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4.2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4.2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4.2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4.2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4.2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4.2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4.2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4.2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4.2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4.2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4.2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4.2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4.2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4.2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4.2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4.2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4.2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4.2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4.2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4.2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4.2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4.2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4.2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4.2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4.2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4.2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4.2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4.2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4.2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4.2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4.2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4.2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4.2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4.2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4.2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4.2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4.2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4.2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4.2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4.2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4.2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4.2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4.2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4.2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4.2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4.2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4.2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4.2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4.2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4.2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4.2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4.2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4.2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4.2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4.2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4.2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4.2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4.2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4.2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4.2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4.2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4.2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4.2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4.2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4.2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4.2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4.2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4.2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4.2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4.2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4.2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4.2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4.2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4.2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4.2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4.2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4.2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4.2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4.2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4.2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4.2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4.2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4.2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4.2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4.2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4.2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4.2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4.2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4.2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4.2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4.2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4.2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4.2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4.2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4.2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4.2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4.2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4.2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4.2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4.2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4.2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4.2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4.2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4.2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4.2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4.2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4.2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4.2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4.2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4.2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4.2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4.2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4.2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4.2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4.2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4.2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4.2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4.2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4.2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4.2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4.2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4.2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4.2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4.2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4.2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4.2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4.2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4.2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4.2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4.2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4.2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4.2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4.2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4.2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4.2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4.2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4.2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4.2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4.2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4.2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4.2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4.2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4.2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4.2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4.2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4.2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4.2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4.2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4.2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4.2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4.2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4.2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4.2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4.2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4.2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4.2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4.2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4.2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4.2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4.2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4.2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4.2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4.2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4.2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4.2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4.2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4.2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4.2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4.2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4.2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4.2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4.2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4.2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4.2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4.2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4.2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4.2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4.2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4.2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4.2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4.2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4.2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4.2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4.2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4.2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4.2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4.2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4.2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4.2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4.2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4.2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4.2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4.2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4.2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4.2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4.2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4.2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4.2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4.2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4.2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4.2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4.2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4.2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4.2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4.2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4.2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4.2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4.2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4.2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4.2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4.2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4.2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4.2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4.2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4.2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4.2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4.2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4.2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4.2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4.2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4.2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4.2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4.2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4.2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4.2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4.2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4.2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4.2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4.2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4.2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4.2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4.2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4.2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4.2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4.2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4.2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4.2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4.2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4.2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4.2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4.2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4.2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4.2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4.2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4.2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4.2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4.2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4.2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4.2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4.2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4.2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4.2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4.2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4.2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4.2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4.2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4.2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4.2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4.2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4.2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4.2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4.2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4.2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4.2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4.2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4.2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4.2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4.2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4.2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4.2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dataConsolidate/>
  <mergeCells count="5">
    <mergeCell ref="A2:C2"/>
    <mergeCell ref="A3:G3"/>
    <mergeCell ref="I3:O3"/>
    <mergeCell ref="A18:G19"/>
    <mergeCell ref="I18:O19"/>
  </mergeCells>
  <pageMargins left="0.7" right="0.7" top="0.75" bottom="0.75" header="0" footer="0"/>
  <pageSetup paperSize="9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DATA!$H$1:$H$4</xm:f>
          </x14:formula1>
          <xm:sqref>D2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Jayesh</dc:creator>
  <cp:lastModifiedBy>vivek jadhav</cp:lastModifiedBy>
  <dcterms:created xsi:type="dcterms:W3CDTF">2015-06-05T18:17:20Z</dcterms:created>
  <dcterms:modified xsi:type="dcterms:W3CDTF">2025-11-21T17:51:37Z</dcterms:modified>
</cp:coreProperties>
</file>